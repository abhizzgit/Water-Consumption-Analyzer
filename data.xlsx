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siva\Downloads\"/>
    </mc:Choice>
  </mc:AlternateContent>
  <xr:revisionPtr revIDLastSave="0" documentId="13_ncr:1_{955E393F-4854-4CB8-A496-294372AAF6C5}" xr6:coauthVersionLast="47" xr6:coauthVersionMax="47" xr10:uidLastSave="{00000000-0000-0000-0000-000000000000}"/>
  <bookViews>
    <workbookView xWindow="-120" yWindow="-120" windowWidth="20730" windowHeight="11040" xr2:uid="{90F2C041-FF20-4127-A462-281A81F00BCB}"/>
  </bookViews>
  <sheets>
    <sheet name="water_consumption_hyderabad" sheetId="1" r:id="rId1"/>
    <sheet name="Pivot_Table" sheetId="4" r:id="rId2"/>
    <sheet name="Dashboard" sheetId="5" r:id="rId3"/>
  </sheets>
  <definedNames>
    <definedName name="Slicer_month">#N/A</definedName>
    <definedName name="Slicer_year">#N/A</definedName>
    <definedName name="Slicer_zone">#N/A</definedName>
  </definedNames>
  <calcPr calcId="0"/>
  <pivotCaches>
    <pivotCache cacheId="1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<sst xmlns="http://schemas.openxmlformats.org/spreadsheetml/2006/main" count="1061" uniqueCount="52">
  <si>
    <t>zone</t>
  </si>
  <si>
    <t>year</t>
  </si>
  <si>
    <t>month</t>
  </si>
  <si>
    <t>population</t>
  </si>
  <si>
    <t>avg_daily_usage_L</t>
  </si>
  <si>
    <t>residential_L</t>
  </si>
  <si>
    <t>commercial_L</t>
  </si>
  <si>
    <t>industrial_L</t>
  </si>
  <si>
    <t>rainfall_mm</t>
  </si>
  <si>
    <t>avg_temp_C</t>
  </si>
  <si>
    <t>conservation_flag</t>
  </si>
  <si>
    <t>Ameerpet</t>
  </si>
  <si>
    <t>Jan</t>
  </si>
  <si>
    <t>LOW</t>
  </si>
  <si>
    <t>Feb</t>
  </si>
  <si>
    <t>Mar</t>
  </si>
  <si>
    <t>Apr</t>
  </si>
  <si>
    <t>May</t>
  </si>
  <si>
    <t>MEDIUM</t>
  </si>
  <si>
    <t>Jun</t>
  </si>
  <si>
    <t>Jul</t>
  </si>
  <si>
    <t>HIGH</t>
  </si>
  <si>
    <t>Aug</t>
  </si>
  <si>
    <t>Sep</t>
  </si>
  <si>
    <t>Oct</t>
  </si>
  <si>
    <t>Nov</t>
  </si>
  <si>
    <t>Dec</t>
  </si>
  <si>
    <t>Banjara Hills</t>
  </si>
  <si>
    <t>Begumpet</t>
  </si>
  <si>
    <t>Dilsukhnagar</t>
  </si>
  <si>
    <t>Hitech City</t>
  </si>
  <si>
    <t>Kukatpally</t>
  </si>
  <si>
    <t>LB Nagar</t>
  </si>
  <si>
    <t>Malakpet</t>
  </si>
  <si>
    <t>Miyapur</t>
  </si>
  <si>
    <t>Secunderabad</t>
  </si>
  <si>
    <t>Winter</t>
  </si>
  <si>
    <t>Monsoon</t>
  </si>
  <si>
    <t>Summer</t>
  </si>
  <si>
    <t>Pre-Monsoon</t>
  </si>
  <si>
    <t>Seasons</t>
  </si>
  <si>
    <t>Row Labels</t>
  </si>
  <si>
    <t>Grand Total</t>
  </si>
  <si>
    <t>Sum of avg_daily_usage_L</t>
  </si>
  <si>
    <t>Line chart showing peak water usage across different zones.</t>
  </si>
  <si>
    <t>Sum of residential_L</t>
  </si>
  <si>
    <t>Sum of commercial_L</t>
  </si>
  <si>
    <t>Sum of industrial_L</t>
  </si>
  <si>
    <t>Area chart depicting sector-wise variations in different zones</t>
  </si>
  <si>
    <t>Area wise huge amount of water consumption in summer</t>
  </si>
  <si>
    <t>Sum of population</t>
  </si>
  <si>
    <t>Populated people across various zones of hyderabad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</si>
</sst>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
      <color theme="0" tint="-4.9989318521683403E-2"/>
      <name val="Arial Unicode MS"/>
      <family val="2"/>
    </font>
    <font>
      <b/>
      <sz val="14"/>
      <color theme="0" tint="-4.9989318521683403E-2"/>
      <name val="Arial Unicode MS"/>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3" tint="0.89999084444715716"/>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theme="1" tint="4.9989318521683403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0" fontId="0" fillId="0" borderId="10"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0" xfId="0" pivotButton="1" applyBorder="1"/>
    <xf numFmtId="0" fontId="0" fillId="0" borderId="10" xfId="0" applyBorder="1" applyAlignment="1">
      <alignment horizontal="left"/>
    </xf>
    <xf numFmtId="0" fontId="0" fillId="0" borderId="10" xfId="0" applyNumberFormat="1" applyBorder="1"/>
    <xf numFmtId="0" fontId="0" fillId="0" borderId="10" xfId="0" pivotButton="1" applyBorder="1" applyAlignment="1">
      <alignment horizontal="left"/>
    </xf>
    <xf numFmtId="0" fontId="0" fillId="0" borderId="10" xfId="0" applyNumberFormat="1" applyBorder="1" applyAlignment="1">
      <alignment horizontal="left"/>
    </xf>
    <xf numFmtId="0" fontId="0" fillId="33" borderId="10" xfId="0" applyFill="1" applyBorder="1" applyAlignment="1">
      <alignment horizontal="left"/>
    </xf>
    <xf numFmtId="0" fontId="0" fillId="33" borderId="10" xfId="0" applyNumberFormat="1" applyFill="1" applyBorder="1" applyAlignment="1">
      <alignment horizontal="left"/>
    </xf>
    <xf numFmtId="0" fontId="0" fillId="34" borderId="10" xfId="0" applyFill="1" applyBorder="1" applyAlignment="1">
      <alignment horizontal="left"/>
    </xf>
    <xf numFmtId="0" fontId="0" fillId="34" borderId="10" xfId="0" applyNumberFormat="1" applyFill="1" applyBorder="1" applyAlignment="1">
      <alignment horizontal="left"/>
    </xf>
    <xf numFmtId="0" fontId="0" fillId="35" borderId="10" xfId="0" applyFill="1" applyBorder="1" applyAlignment="1">
      <alignment horizontal="left"/>
    </xf>
    <xf numFmtId="0" fontId="0" fillId="35" borderId="10" xfId="0" applyNumberFormat="1" applyFill="1" applyBorder="1" applyAlignment="1">
      <alignment horizontal="left"/>
    </xf>
    <xf numFmtId="0" fontId="0" fillId="36" borderId="10" xfId="0" applyFill="1" applyBorder="1" applyAlignment="1">
      <alignment horizontal="left"/>
    </xf>
    <xf numFmtId="0" fontId="0" fillId="36" borderId="10" xfId="0" applyNumberFormat="1" applyFill="1" applyBorder="1" applyAlignment="1">
      <alignment horizontal="left"/>
    </xf>
    <xf numFmtId="0" fontId="0" fillId="37" borderId="0" xfId="0" applyFill="1"/>
    <xf numFmtId="0" fontId="0" fillId="37" borderId="0" xfId="0" applyFill="1" applyAlignment="1"/>
    <xf numFmtId="0" fontId="18" fillId="37" borderId="0" xfId="0" applyFont="1" applyFill="1" applyAlignment="1">
      <alignment horizontal="center" vertical="center"/>
    </xf>
    <xf numFmtId="0" fontId="19" fillId="37" borderId="0" xfId="0" applyFont="1" applyFill="1" applyAlignment="1">
      <alignment horizontal="center" vertical="center"/>
    </xf>
    <xf numFmtId="0" fontId="18" fillId="37" borderId="0" xfId="0" applyFont="1" applyFill="1" applyAlignment="1">
      <alignment horizontal="center"/>
    </xf>
    <xf numFmtId="0" fontId="18" fillId="37"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31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bgColor theme="8" tint="0.59999389629810485"/>
        </patternFill>
      </fill>
    </dxf>
    <dxf>
      <fill>
        <patternFill patternType="solid">
          <bgColor theme="8" tint="0.59999389629810485"/>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39997558519241921"/>
        </patternFill>
      </fill>
    </dxf>
    <dxf>
      <fill>
        <patternFill patternType="solid">
          <bgColor theme="8"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gradientFill>
          <stop position="0">
            <color theme="0"/>
          </stop>
          <stop position="1">
            <color theme="3" tint="0.74901577806939912"/>
          </stop>
        </gradientFill>
      </fill>
    </dxf>
    <dxf>
      <fill>
        <gradientFill type="path" left="0.5" right="0.5" top="0.5" bottom="0.5">
          <stop position="0">
            <color theme="3" tint="0.74901577806939912"/>
          </stop>
          <stop position="1">
            <color theme="0"/>
          </stop>
        </gradientFill>
      </fill>
    </dxf>
    <dxf>
      <fill>
        <gradientFill type="path" left="0.5" right="0.5" top="0.5" bottom="0.5">
          <stop position="0">
            <color theme="3" tint="0.49803155613879818"/>
          </stop>
          <stop position="1">
            <color theme="0"/>
          </stop>
        </gradientFill>
      </fill>
    </dxf>
    <dxf>
      <fill>
        <gradientFill type="path" left="0.5" right="0.5" top="0.5" bottom="0.5">
          <stop position="0">
            <color theme="3" tint="9.8025452436902985E-2"/>
          </stop>
          <stop position="1">
            <color theme="0"/>
          </stop>
        </gradientFill>
      </fill>
    </dxf>
    <dxf>
      <fill>
        <gradientFill degree="135">
          <stop position="0">
            <color theme="3" tint="0.74901577806939912"/>
          </stop>
          <stop position="1">
            <color theme="0"/>
          </stop>
        </gradientFill>
      </fill>
    </dxf>
    <dxf>
      <fill>
        <gradientFill degree="135">
          <stop position="0">
            <color theme="3" tint="0.49803155613879818"/>
          </stop>
          <stop position="1">
            <color theme="3" tint="0.89803765984069339"/>
          </stop>
        </gradientFill>
      </fill>
    </dxf>
    <dxf>
      <fill>
        <gradientFill degree="135">
          <stop position="0">
            <color theme="3" tint="0.25098422193060094"/>
          </stop>
          <stop position="1">
            <color theme="2" tint="-9.8025452436902985E-2"/>
          </stop>
        </gradient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8" tint="0.39997558519241921"/>
        </patternFill>
      </fill>
    </dxf>
    <dxf>
      <fill>
        <patternFill patternType="solid">
          <bgColor theme="8" tint="0.39997558519241921"/>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8" tint="0.59999389629810485"/>
        </patternFill>
      </fill>
    </dxf>
    <dxf>
      <fill>
        <patternFill patternType="solid">
          <bgColor theme="8" tint="0.59999389629810485"/>
        </patternFill>
      </fill>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[water_consumption_hyderabad.xlsx]Pivot_Table!PivotTable2</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Line chart showing peak water usage across different zones.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Pivot_Table!$B$3</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Pivot_Table!$A$4:$A$49</c:f>
              <c:multiLvlStrCache>
                <c:ptCount val="42"/>
                <c:lvl>
                  <c:pt idx="0">
                    <c:v>Ameerpet</c:v>
                  </c:pt>
                  <c:pt idx="1">
                    <c:v>Banjara Hills</c:v>
                  </c:pt>
                  <c:pt idx="2">
                    <c:v>Begumpet</c:v>
                  </c:pt>
                  <c:pt idx="3">
                    <c:v>Dilsukhnagar</c:v>
                  </c:pt>
                  <c:pt idx="4">
                    <c:v>Hitech City</c:v>
                  </c:pt>
                  <c:pt idx="5">
                    <c:v>Kukatpally</c:v>
                  </c:pt>
                  <c:pt idx="6">
                    <c:v>LB Nagar</c:v>
                  </c:pt>
                  <c:pt idx="7">
                    <c:v>Malakpet</c:v>
                  </c:pt>
                  <c:pt idx="8">
                    <c:v>Miyapur</c:v>
                  </c:pt>
                  <c:pt idx="9">
                    <c:v>Secunderabad</c:v>
                  </c:pt>
                  <c:pt idx="21">
                    <c:v>Ameerpet</c:v>
                  </c:pt>
                  <c:pt idx="22">
                    <c:v>Banjara Hills</c:v>
                  </c:pt>
                  <c:pt idx="23">
                    <c:v>Begumpet</c:v>
                  </c:pt>
                  <c:pt idx="24">
                    <c:v>Dilsukhnagar</c:v>
                  </c:pt>
                  <c:pt idx="25">
                    <c:v>Hitech City</c:v>
                  </c:pt>
                  <c:pt idx="26">
                    <c:v>Kukatpally</c:v>
                  </c:pt>
                  <c:pt idx="27">
                    <c:v>LB Nagar</c:v>
                  </c:pt>
                  <c:pt idx="28">
                    <c:v>Malakpet</c:v>
                  </c:pt>
                  <c:pt idx="29">
                    <c:v>Miyapur</c:v>
                  </c:pt>
                  <c:pt idx="30">
                    <c:v>Secunderabad</c:v>
                  </c:pt>
                </c:lvl>
                <c:lvl>
                  <c:pt idx="0">
                    <c:v>Jan</c:v>
                  </c:pt>
                  <c:pt idx="10">
                    <c:v>Feb</c:v>
                  </c:pt>
                  <c:pt idx="11">
                    <c:v>Mar</c:v>
                  </c:pt>
                  <c:pt idx="12">
                    <c:v>Apr</c:v>
                  </c:pt>
                  <c:pt idx="13">
                    <c:v>May</c:v>
                  </c:pt>
                  <c:pt idx="14">
                    <c:v>Jun</c:v>
                  </c:pt>
                  <c:pt idx="15">
                    <c:v>Jul</c:v>
                  </c:pt>
                  <c:pt idx="16">
                    <c:v>Aug</c:v>
                  </c:pt>
                  <c:pt idx="17">
                    <c:v>Sep</c:v>
                  </c:pt>
                  <c:pt idx="18">
                    <c:v>Oct</c:v>
                  </c:pt>
                  <c:pt idx="19">
                    <c:v>Nov</c:v>
                  </c:pt>
                  <c:pt idx="20">
                    <c:v>Dec</c:v>
                  </c:pt>
                  <c:pt idx="21">
                    <c:v>Jan</c:v>
                  </c:pt>
                  <c:pt idx="31">
                    <c:v>Feb</c:v>
                  </c:pt>
                  <c:pt idx="32">
                    <c:v>Mar</c:v>
                  </c:pt>
                  <c:pt idx="33">
                    <c:v>Apr</c:v>
                  </c:pt>
                  <c:pt idx="34">
                    <c:v>May</c:v>
                  </c:pt>
                  <c:pt idx="35">
                    <c:v>Jun</c:v>
                  </c:pt>
                  <c:pt idx="36">
                    <c:v>Jul</c:v>
                  </c:pt>
                  <c:pt idx="37">
                    <c:v>Aug</c:v>
                  </c:pt>
                  <c:pt idx="38">
                    <c:v>Sep</c:v>
                  </c:pt>
                  <c:pt idx="39">
                    <c:v>Oct</c:v>
                  </c:pt>
                  <c:pt idx="40">
                    <c:v>Nov</c:v>
                  </c:pt>
                  <c:pt idx="41">
                    <c:v>Dec</c:v>
                  </c:pt>
                </c:lvl>
                <c:lvl>
                  <c:pt idx="0">
                    <c:v>2023</c:v>
                  </c:pt>
                  <c:pt idx="21">
                    <c:v>2024</c:v>
                  </c:pt>
                </c:lvl>
              </c:multiLvlStrCache>
            </c:multiLvlStrRef>
          </c:cat>
          <c:val>
            <c:numRef>
              <c:f>Pivot_Table!$B$4:$B$49</c:f>
              <c:numCache>
                <c:formatCode>General</c:formatCode>
                <c:ptCount val="42"/>
                <c:pt idx="0">
                  <c:v>178.1</c:v>
                </c:pt>
                <c:pt idx="1">
                  <c:v>245.1</c:v>
                </c:pt>
                <c:pt idx="2">
                  <c:v>221.6</c:v>
                </c:pt>
                <c:pt idx="3">
                  <c:v>178.7</c:v>
                </c:pt>
                <c:pt idx="4">
                  <c:v>235.7</c:v>
                </c:pt>
                <c:pt idx="5">
                  <c:v>217.2</c:v>
                </c:pt>
                <c:pt idx="6">
                  <c:v>180</c:v>
                </c:pt>
                <c:pt idx="7">
                  <c:v>183.8</c:v>
                </c:pt>
                <c:pt idx="8">
                  <c:v>205.5</c:v>
                </c:pt>
                <c:pt idx="9">
                  <c:v>188.9</c:v>
                </c:pt>
                <c:pt idx="10">
                  <c:v>2069.2000000000003</c:v>
                </c:pt>
                <c:pt idx="11">
                  <c:v>2287.6000000000004</c:v>
                </c:pt>
                <c:pt idx="12">
                  <c:v>2535.3000000000002</c:v>
                </c:pt>
                <c:pt idx="13">
                  <c:v>2852.8</c:v>
                </c:pt>
                <c:pt idx="14">
                  <c:v>3340.1</c:v>
                </c:pt>
                <c:pt idx="15">
                  <c:v>3536.7999999999997</c:v>
                </c:pt>
                <c:pt idx="16">
                  <c:v>3392.8999999999996</c:v>
                </c:pt>
                <c:pt idx="17">
                  <c:v>2946.4</c:v>
                </c:pt>
                <c:pt idx="18">
                  <c:v>2510.8999999999996</c:v>
                </c:pt>
                <c:pt idx="19">
                  <c:v>2221.4</c:v>
                </c:pt>
                <c:pt idx="20">
                  <c:v>2007.8</c:v>
                </c:pt>
                <c:pt idx="21">
                  <c:v>180.1</c:v>
                </c:pt>
                <c:pt idx="22">
                  <c:v>235.3</c:v>
                </c:pt>
                <c:pt idx="23">
                  <c:v>231.1</c:v>
                </c:pt>
                <c:pt idx="24">
                  <c:v>160</c:v>
                </c:pt>
                <c:pt idx="25">
                  <c:v>229.8</c:v>
                </c:pt>
                <c:pt idx="26">
                  <c:v>196.4</c:v>
                </c:pt>
                <c:pt idx="27">
                  <c:v>172.2</c:v>
                </c:pt>
                <c:pt idx="28">
                  <c:v>170.3</c:v>
                </c:pt>
                <c:pt idx="29">
                  <c:v>226.5</c:v>
                </c:pt>
                <c:pt idx="30">
                  <c:v>195.9</c:v>
                </c:pt>
                <c:pt idx="31">
                  <c:v>2065.7999999999997</c:v>
                </c:pt>
                <c:pt idx="32">
                  <c:v>2284.6999999999998</c:v>
                </c:pt>
                <c:pt idx="33">
                  <c:v>2547</c:v>
                </c:pt>
                <c:pt idx="34">
                  <c:v>2842.4</c:v>
                </c:pt>
                <c:pt idx="35">
                  <c:v>3307.7000000000003</c:v>
                </c:pt>
                <c:pt idx="36">
                  <c:v>3523.7000000000003</c:v>
                </c:pt>
                <c:pt idx="37">
                  <c:v>3369.9</c:v>
                </c:pt>
                <c:pt idx="38">
                  <c:v>3034.2</c:v>
                </c:pt>
                <c:pt idx="39">
                  <c:v>2508.1999999999998</c:v>
                </c:pt>
                <c:pt idx="40">
                  <c:v>2233.3999999999996</c:v>
                </c:pt>
                <c:pt idx="41">
                  <c:v>1989.7999999999997</c:v>
                </c:pt>
              </c:numCache>
            </c:numRef>
          </c:val>
          <c:smooth val="0"/>
          <c:extLst>
            <c:ext xmlns:c16="http://schemas.microsoft.com/office/drawing/2014/chart" uri="{C3380CC4-5D6E-409C-BE32-E72D297353CC}">
              <c16:uniqueId val="{00000000-CD30-4CFB-ABB6-413F3DB0EC68}"/>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51012591"/>
        <c:axId val="1151013551"/>
      </c:lineChart>
      <c:catAx>
        <c:axId val="1151012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1151013551"/>
        <c:crosses val="autoZero"/>
        <c:auto val="1"/>
        <c:lblAlgn val="ctr"/>
        <c:lblOffset val="100"/>
        <c:noMultiLvlLbl val="0"/>
      </c:catAx>
      <c:valAx>
        <c:axId val="1151013551"/>
        <c:scaling>
          <c:orientation val="minMax"/>
        </c:scaling>
        <c:delete val="1"/>
        <c:axPos val="l"/>
        <c:numFmt formatCode="General" sourceLinked="1"/>
        <c:majorTickMark val="none"/>
        <c:minorTickMark val="none"/>
        <c:tickLblPos val="nextTo"/>
        <c:crossAx val="115101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[water_consumption_hyderabad.xlsx]Pivot_Table!PivotTable3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Area chart depicting sector-wise variations in different zones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Pivot_Table!$B$53</c:f>
              <c:strCache>
                <c:ptCount val="1"/>
                <c:pt idx="0">
                  <c:v>Sum of residential_L</c:v>
                </c:pt>
              </c:strCache>
            </c:strRef>
          </c:tx>
          <c:spPr>
            <a:solidFill>
              <a:schemeClr val="accent1"/>
            </a:solidFill>
            <a:ln>
              <a:noFill/>
            </a:ln>
            <a:effectLst/>
          </c:spPr>
          <c:cat>
            <c:strRef>
              <c:f>Pivot_Table!$A$54:$A$64</c:f>
              <c:strCache>
                <c:ptCount val="10"/>
                <c:pt idx="0">
                  <c:v>Ameerpet</c:v>
                </c:pt>
                <c:pt idx="1">
                  <c:v>Banjara Hills</c:v>
                </c:pt>
                <c:pt idx="2">
                  <c:v>Begumpet</c:v>
                </c:pt>
                <c:pt idx="3">
                  <c:v>Dilsukhnagar</c:v>
                </c:pt>
                <c:pt idx="4">
                  <c:v>Hitech City</c:v>
                </c:pt>
                <c:pt idx="5">
                  <c:v>Kukatpally</c:v>
                </c:pt>
                <c:pt idx="6">
                  <c:v>LB Nagar</c:v>
                </c:pt>
                <c:pt idx="7">
                  <c:v>Malakpet</c:v>
                </c:pt>
                <c:pt idx="8">
                  <c:v>Miyapur</c:v>
                </c:pt>
                <c:pt idx="9">
                  <c:v>Secunderabad</c:v>
                </c:pt>
              </c:strCache>
            </c:strRef>
          </c:cat>
          <c:val>
            <c:numRef>
              <c:f>Pivot_Table!$B$54:$B$64</c:f>
              <c:numCache>
                <c:formatCode>General</c:formatCode>
                <c:ptCount val="10"/>
                <c:pt idx="0">
                  <c:v>4294.7</c:v>
                </c:pt>
                <c:pt idx="1">
                  <c:v>5660.3999999999987</c:v>
                </c:pt>
                <c:pt idx="2">
                  <c:v>5221.8000000000011</c:v>
                </c:pt>
                <c:pt idx="3">
                  <c:v>3997.6000000000004</c:v>
                </c:pt>
                <c:pt idx="4">
                  <c:v>5414.5999999999995</c:v>
                </c:pt>
                <c:pt idx="5">
                  <c:v>4770.4999999999991</c:v>
                </c:pt>
                <c:pt idx="6">
                  <c:v>4026.8</c:v>
                </c:pt>
                <c:pt idx="7">
                  <c:v>4117.5</c:v>
                </c:pt>
                <c:pt idx="8">
                  <c:v>5042.0000000000009</c:v>
                </c:pt>
                <c:pt idx="9">
                  <c:v>4573.2</c:v>
                </c:pt>
              </c:numCache>
            </c:numRef>
          </c:val>
          <c:extLst>
            <c:ext xmlns:c16="http://schemas.microsoft.com/office/drawing/2014/chart" uri="{C3380CC4-5D6E-409C-BE32-E72D297353CC}">
              <c16:uniqueId val="{00000000-F3EB-4EF3-A081-BCBD085DEC84}"/>
            </c:ext>
          </c:extLst>
        </c:ser>
        <c:ser>
          <c:idx val="1"/>
          <c:order val="1"/>
          <c:tx>
            <c:strRef>
              <c:f>Pivot_Table!$C$53</c:f>
              <c:strCache>
                <c:ptCount val="1"/>
                <c:pt idx="0">
                  <c:v>Sum of commercial_L</c:v>
                </c:pt>
              </c:strCache>
            </c:strRef>
          </c:tx>
          <c:spPr>
            <a:solidFill>
              <a:schemeClr val="accent2"/>
            </a:solidFill>
            <a:ln>
              <a:noFill/>
            </a:ln>
            <a:effectLst/>
          </c:spPr>
          <c:cat>
            <c:strRef>
              <c:f>Pivot_Table!$A$54:$A$64</c:f>
              <c:strCache>
                <c:ptCount val="10"/>
                <c:pt idx="0">
                  <c:v>Ameerpet</c:v>
                </c:pt>
                <c:pt idx="1">
                  <c:v>Banjara Hills</c:v>
                </c:pt>
                <c:pt idx="2">
                  <c:v>Begumpet</c:v>
                </c:pt>
                <c:pt idx="3">
                  <c:v>Dilsukhnagar</c:v>
                </c:pt>
                <c:pt idx="4">
                  <c:v>Hitech City</c:v>
                </c:pt>
                <c:pt idx="5">
                  <c:v>Kukatpally</c:v>
                </c:pt>
                <c:pt idx="6">
                  <c:v>LB Nagar</c:v>
                </c:pt>
                <c:pt idx="7">
                  <c:v>Malakpet</c:v>
                </c:pt>
                <c:pt idx="8">
                  <c:v>Miyapur</c:v>
                </c:pt>
                <c:pt idx="9">
                  <c:v>Secunderabad</c:v>
                </c:pt>
              </c:strCache>
            </c:strRef>
          </c:cat>
          <c:val>
            <c:numRef>
              <c:f>Pivot_Table!$C$54:$C$64</c:f>
              <c:numCache>
                <c:formatCode>General</c:formatCode>
                <c:ptCount val="10"/>
                <c:pt idx="0">
                  <c:v>893.4000000000002</c:v>
                </c:pt>
                <c:pt idx="1">
                  <c:v>1097.9000000000001</c:v>
                </c:pt>
                <c:pt idx="2">
                  <c:v>1030.5000000000002</c:v>
                </c:pt>
                <c:pt idx="3">
                  <c:v>796.60000000000014</c:v>
                </c:pt>
                <c:pt idx="4">
                  <c:v>1073.4999999999998</c:v>
                </c:pt>
                <c:pt idx="5">
                  <c:v>959.8</c:v>
                </c:pt>
                <c:pt idx="6">
                  <c:v>860.1</c:v>
                </c:pt>
                <c:pt idx="7">
                  <c:v>835.9</c:v>
                </c:pt>
                <c:pt idx="8">
                  <c:v>961.7</c:v>
                </c:pt>
                <c:pt idx="9">
                  <c:v>889.9</c:v>
                </c:pt>
              </c:numCache>
            </c:numRef>
          </c:val>
          <c:extLst>
            <c:ext xmlns:c16="http://schemas.microsoft.com/office/drawing/2014/chart" uri="{C3380CC4-5D6E-409C-BE32-E72D297353CC}">
              <c16:uniqueId val="{00000001-F3EB-4EF3-A081-BCBD085DEC84}"/>
            </c:ext>
          </c:extLst>
        </c:ser>
        <c:ser>
          <c:idx val="2"/>
          <c:order val="2"/>
          <c:tx>
            <c:strRef>
              <c:f>Pivot_Table!$D$53</c:f>
              <c:strCache>
                <c:ptCount val="1"/>
                <c:pt idx="0">
                  <c:v>Sum of industrial_L</c:v>
                </c:pt>
              </c:strCache>
            </c:strRef>
          </c:tx>
          <c:spPr>
            <a:solidFill>
              <a:schemeClr val="accent3"/>
            </a:solidFill>
            <a:ln>
              <a:noFill/>
            </a:ln>
            <a:effectLst/>
          </c:spPr>
          <c:cat>
            <c:strRef>
              <c:f>Pivot_Table!$A$54:$A$64</c:f>
              <c:strCache>
                <c:ptCount val="10"/>
                <c:pt idx="0">
                  <c:v>Ameerpet</c:v>
                </c:pt>
                <c:pt idx="1">
                  <c:v>Banjara Hills</c:v>
                </c:pt>
                <c:pt idx="2">
                  <c:v>Begumpet</c:v>
                </c:pt>
                <c:pt idx="3">
                  <c:v>Dilsukhnagar</c:v>
                </c:pt>
                <c:pt idx="4">
                  <c:v>Hitech City</c:v>
                </c:pt>
                <c:pt idx="5">
                  <c:v>Kukatpally</c:v>
                </c:pt>
                <c:pt idx="6">
                  <c:v>LB Nagar</c:v>
                </c:pt>
                <c:pt idx="7">
                  <c:v>Malakpet</c:v>
                </c:pt>
                <c:pt idx="8">
                  <c:v>Miyapur</c:v>
                </c:pt>
                <c:pt idx="9">
                  <c:v>Secunderabad</c:v>
                </c:pt>
              </c:strCache>
            </c:strRef>
          </c:cat>
          <c:val>
            <c:numRef>
              <c:f>Pivot_Table!$D$54:$D$64</c:f>
              <c:numCache>
                <c:formatCode>General</c:formatCode>
                <c:ptCount val="10"/>
                <c:pt idx="0">
                  <c:v>639.79999999999984</c:v>
                </c:pt>
                <c:pt idx="1">
                  <c:v>817.5</c:v>
                </c:pt>
                <c:pt idx="2">
                  <c:v>764.70000000000016</c:v>
                </c:pt>
                <c:pt idx="3">
                  <c:v>577.5</c:v>
                </c:pt>
                <c:pt idx="4">
                  <c:v>741.1</c:v>
                </c:pt>
                <c:pt idx="5">
                  <c:v>746.9</c:v>
                </c:pt>
                <c:pt idx="6">
                  <c:v>615.9</c:v>
                </c:pt>
                <c:pt idx="7">
                  <c:v>607.19999999999993</c:v>
                </c:pt>
                <c:pt idx="8">
                  <c:v>740.90000000000009</c:v>
                </c:pt>
                <c:pt idx="9">
                  <c:v>670.29999999999984</c:v>
                </c:pt>
              </c:numCache>
            </c:numRef>
          </c:val>
          <c:extLst>
            <c:ext xmlns:c16="http://schemas.microsoft.com/office/drawing/2014/chart" uri="{C3380CC4-5D6E-409C-BE32-E72D297353CC}">
              <c16:uniqueId val="{00000002-F3EB-4EF3-A081-BCBD085DEC84}"/>
            </c:ext>
          </c:extLst>
        </c:ser>
        <c:dLbls>
          <c:showLegendKey val="0"/>
          <c:showVal val="0"/>
          <c:showCatName val="0"/>
          <c:showSerName val="0"/>
          <c:showPercent val="0"/>
          <c:showBubbleSize val="0"/>
        </c:dLbls>
        <c:axId val="1022338719"/>
        <c:axId val="1151013071"/>
      </c:areaChart>
      <c:catAx>
        <c:axId val="1022338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013071"/>
        <c:crosses val="autoZero"/>
        <c:auto val="1"/>
        <c:lblAlgn val="ctr"/>
        <c:lblOffset val="100"/>
        <c:noMultiLvlLbl val="0"/>
      </c:catAx>
      <c:valAx>
        <c:axId val="1151013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23387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[water_consumption_hyderabad.xlsx]Pivot_Table!PivotTable5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Area wise huge amount of water consumption in summer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Pivot_Table!$B$88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Pivot_Table!$A$89:$A$98</c:f>
              <c:strCache>
                <c:ptCount val="10"/>
                <c:pt idx="0">
                  <c:v>Ameerpet</c:v>
                </c:pt>
                <c:pt idx="1">
                  <c:v>Banjara Hills</c:v>
                </c:pt>
                <c:pt idx="2">
                  <c:v>Begumpet</c:v>
                </c:pt>
                <c:pt idx="3">
                  <c:v>Dilsukhnagar</c:v>
                </c:pt>
                <c:pt idx="4">
                  <c:v>Hitech City</c:v>
                </c:pt>
                <c:pt idx="5">
                  <c:v>Kukatpally</c:v>
                </c:pt>
                <c:pt idx="6">
                  <c:v>LB Nagar</c:v>
                </c:pt>
                <c:pt idx="7">
                  <c:v>Malakpet</c:v>
                </c:pt>
                <c:pt idx="8">
                  <c:v>Miyapur</c:v>
                </c:pt>
                <c:pt idx="9">
                  <c:v>Secunderabad</c:v>
                </c:pt>
              </c:strCache>
            </c:strRef>
          </c:cat>
          <c:val>
            <c:numRef>
              <c:f>Pivot_Table!$B$89:$B$98</c:f>
              <c:numCache>
                <c:formatCode>General</c:formatCode>
                <c:ptCount val="10"/>
                <c:pt idx="0">
                  <c:v>5827.9000000000005</c:v>
                </c:pt>
                <c:pt idx="1">
                  <c:v>7575.8</c:v>
                </c:pt>
                <c:pt idx="2">
                  <c:v>7016.9999999999982</c:v>
                </c:pt>
                <c:pt idx="3">
                  <c:v>5371.7000000000007</c:v>
                </c:pt>
                <c:pt idx="4">
                  <c:v>7229.2000000000007</c:v>
                </c:pt>
                <c:pt idx="5">
                  <c:v>6477.2</c:v>
                </c:pt>
                <c:pt idx="6">
                  <c:v>5502.8</c:v>
                </c:pt>
                <c:pt idx="7">
                  <c:v>5560.6</c:v>
                </c:pt>
                <c:pt idx="8">
                  <c:v>6744.6</c:v>
                </c:pt>
                <c:pt idx="9">
                  <c:v>6133.4000000000005</c:v>
                </c:pt>
              </c:numCache>
            </c:numRef>
          </c:val>
          <c:extLst>
            <c:ext xmlns:c16="http://schemas.microsoft.com/office/drawing/2014/chart" uri="{C3380CC4-5D6E-409C-BE32-E72D297353CC}">
              <c16:uniqueId val="{00000000-6C34-4B4F-9250-F9C8926F4F27}"/>
            </c:ext>
          </c:extLst>
        </c:ser>
        <c:dLbls>
          <c:dLblPos val="ctr"/>
          <c:showLegendKey val="0"/>
          <c:showVal val="1"/>
          <c:showCatName val="0"/>
          <c:showSerName val="0"/>
          <c:showPercent val="0"/>
          <c:showBubbleSize val="0"/>
        </c:dLbls>
        <c:gapWidth val="150"/>
        <c:overlap val="100"/>
        <c:axId val="1275852559"/>
        <c:axId val="1275844879"/>
      </c:barChart>
      <c:catAx>
        <c:axId val="127585255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844879"/>
        <c:crosses val="autoZero"/>
        <c:auto val="1"/>
        <c:lblAlgn val="ctr"/>
        <c:lblOffset val="100"/>
        <c:noMultiLvlLbl val="0"/>
      </c:catAx>
      <c:valAx>
        <c:axId val="127584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852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[water_consumption_hyderabad.xlsx]Pivot_Table!PivotTable6</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Populated people across various zones of hyderabad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Pivot_Table!$B$104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Pivot_Table!$A$105:$A$114</c:f>
              <c:strCache>
                <c:ptCount val="10"/>
                <c:pt idx="0">
                  <c:v>Ameerpet</c:v>
                </c:pt>
                <c:pt idx="1">
                  <c:v>Banjara Hills</c:v>
                </c:pt>
                <c:pt idx="2">
                  <c:v>Begumpet</c:v>
                </c:pt>
                <c:pt idx="3">
                  <c:v>Dilsukhnagar</c:v>
                </c:pt>
                <c:pt idx="4">
                  <c:v>Hitech City</c:v>
                </c:pt>
                <c:pt idx="5">
                  <c:v>Kukatpally</c:v>
                </c:pt>
                <c:pt idx="6">
                  <c:v>LB Nagar</c:v>
                </c:pt>
                <c:pt idx="7">
                  <c:v>Malakpet</c:v>
                </c:pt>
                <c:pt idx="8">
                  <c:v>Miyapur</c:v>
                </c:pt>
                <c:pt idx="9">
                  <c:v>Secunderabad</c:v>
                </c:pt>
              </c:strCache>
            </c:strRef>
          </c:cat>
          <c:val>
            <c:numRef>
              <c:f>Pivot_Table!$B$105:$B$114</c:f>
              <c:numCache>
                <c:formatCode>General</c:formatCode>
                <c:ptCount val="10"/>
                <c:pt idx="0">
                  <c:v>1097934</c:v>
                </c:pt>
                <c:pt idx="1">
                  <c:v>839560</c:v>
                </c:pt>
                <c:pt idx="2">
                  <c:v>971876</c:v>
                </c:pt>
                <c:pt idx="3">
                  <c:v>954928</c:v>
                </c:pt>
                <c:pt idx="4">
                  <c:v>1007076</c:v>
                </c:pt>
                <c:pt idx="5">
                  <c:v>917813</c:v>
                </c:pt>
                <c:pt idx="6">
                  <c:v>961439</c:v>
                </c:pt>
                <c:pt idx="7">
                  <c:v>932006</c:v>
                </c:pt>
                <c:pt idx="8">
                  <c:v>986384</c:v>
                </c:pt>
                <c:pt idx="9">
                  <c:v>1099724</c:v>
                </c:pt>
              </c:numCache>
            </c:numRef>
          </c:val>
          <c:extLst>
            <c:ext xmlns:c16="http://schemas.microsoft.com/office/drawing/2014/chart" uri="{C3380CC4-5D6E-409C-BE32-E72D297353CC}">
              <c16:uniqueId val="{00000000-401C-4919-8246-FBFD2E271D98}"/>
            </c:ext>
          </c:extLst>
        </c:ser>
        <c:dLbls>
          <c:showLegendKey val="0"/>
          <c:showVal val="0"/>
          <c:showCatName val="0"/>
          <c:showSerName val="0"/>
          <c:showPercent val="0"/>
          <c:showBubbleSize val="0"/>
        </c:dLbls>
        <c:gapWidth val="65"/>
        <c:shape val="box"/>
        <c:axId val="1279908703"/>
        <c:axId val="1279912063"/>
        <c:axId val="0"/>
      </c:bar3DChart>
      <c:catAx>
        <c:axId val="127990870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79912063"/>
        <c:crosses val="autoZero"/>
        <c:auto val="1"/>
        <c:lblAlgn val="ctr"/>
        <c:lblOffset val="100"/>
        <c:noMultiLvlLbl val="0"/>
      </c:catAx>
      <c:valAx>
        <c:axId val="12799120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7990870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504824</xdr:colOff>
      <xdr:row>1</xdr:row>
      <xdr:rowOff>0</xdr:rowOff>
    </xdr:from>
    <xdr:to>
      <xdr:col>17</xdr:col>
      <xdr:colOff>590550</xdr:colOff>
      <xdr:row>26</xdr:row>
      <xdr:rowOff>0</xdr:rowOff>
    </xdr:to>
    <xdr:graphicFrame macro="">
      <xdr:nvGraphicFramePr>
        <xdr:cNvPr id="2" name="Chart 1">
          <a:extLst>
            <a:ext uri="{FF2B5EF4-FFF2-40B4-BE49-F238E27FC236}">
              <a16:creationId xmlns:a16="http://schemas.microsoft.com/office/drawing/2014/main" id="{F3C6635F-3EF6-41D1-9D33-E2474AB7C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161924</xdr:colOff>
      <xdr:row>1</xdr:row>
      <xdr:rowOff>9524</xdr:rowOff>
    </xdr:from>
    <xdr:to>
      <xdr:col>2</xdr:col>
      <xdr:colOff>476249</xdr:colOff>
      <xdr:row>14</xdr:row>
      <xdr:rowOff>152399</xdr:rowOff>
    </xdr:to>
    <mc:AlternateContent xmlns:mc="http://schemas.openxmlformats.org/markup-compatibility/2006">
      <mc:Choice xmlns:a14="http://schemas.microsoft.com/office/drawing/2010/main" Requires="a14">
        <xdr:graphicFrame macro="">
          <xdr:nvGraphicFramePr>
            <xdr:cNvPr id="3" name="zone">
              <a:extLst>
                <a:ext uri="{FF2B5EF4-FFF2-40B4-BE49-F238E27FC236}">
                  <a16:creationId xmlns:a16="http://schemas.microsoft.com/office/drawing/2014/main" id="{D227FCA4-9112-37C7-7D97-CE2E95B360BB}"/>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dr:sp macro="" textlink="">
          <xdr:nvSpPr>
            <xdr:cNvPr id="0" name=""/>
            <xdr:cNvSpPr>
              <a:spLocks noTextEdit="1"/>
            </xdr:cNvSpPr>
          </xdr:nvSpPr>
          <xdr:spPr>
            <a:xfrm>
              <a:off x="161924" y="197341"/>
              <a:ext cx="1521719" cy="2584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83952</xdr:colOff>
      <xdr:row>1</xdr:row>
      <xdr:rowOff>33448</xdr:rowOff>
    </xdr:from>
    <xdr:to>
      <xdr:col>20</xdr:col>
      <xdr:colOff>343343</xdr:colOff>
      <xdr:row>7</xdr:row>
      <xdr:rowOff>55378</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E956D395-DA9F-9E75-FB16-86520594270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0950501" y="221265"/>
              <a:ext cx="1466786" cy="1148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155057</xdr:colOff>
      <xdr:row>14</xdr:row>
      <xdr:rowOff>177431</xdr:rowOff>
    </xdr:from>
    <xdr:to>
      <xdr:col>2</xdr:col>
      <xdr:colOff>465174</xdr:colOff>
      <xdr:row>28</xdr:row>
      <xdr:rowOff>43320</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5C37C45B-9190-86E0-0F5B-280205BB6AA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5057" y="2806868"/>
              <a:ext cx="1517511" cy="2508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47625</xdr:colOff>
      <xdr:row>7</xdr:row>
      <xdr:rowOff>111125</xdr:rowOff>
    </xdr:from>
    <xdr:to>
      <xdr:col>30</xdr:col>
      <xdr:colOff>111125</xdr:colOff>
      <xdr:row>26</xdr:row>
      <xdr:rowOff>15875</xdr:rowOff>
    </xdr:to>
    <xdr:graphicFrame macro="">
      <xdr:nvGraphicFramePr>
        <xdr:cNvPr id="8" name="Chart 7">
          <a:extLst>
            <a:ext uri="{FF2B5EF4-FFF2-40B4-BE49-F238E27FC236}">
              <a16:creationId xmlns:a16="http://schemas.microsoft.com/office/drawing/2014/main" id="{26737B38-6517-4A50-93B6-B95172A69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30</xdr:row>
      <xdr:rowOff>65689</xdr:rowOff>
    </xdr:from>
    <xdr:to>
      <xdr:col>19</xdr:col>
      <xdr:colOff>197069</xdr:colOff>
      <xdr:row>60</xdr:row>
      <xdr:rowOff>65689</xdr:rowOff>
    </xdr:to>
    <xdr:graphicFrame macro="">
      <xdr:nvGraphicFramePr>
        <xdr:cNvPr id="9" name="Chart 8">
          <a:extLst>
            <a:ext uri="{FF2B5EF4-FFF2-40B4-BE49-F238E27FC236}">
              <a16:creationId xmlns:a16="http://schemas.microsoft.com/office/drawing/2014/main" id="{2A69130D-0F65-4313-8085-88266C192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xdr:colOff>
      <xdr:row>31</xdr:row>
      <xdr:rowOff>0</xdr:rowOff>
    </xdr:from>
    <xdr:to>
      <xdr:col>31</xdr:col>
      <xdr:colOff>341461</xdr:colOff>
      <xdr:row>58</xdr:row>
      <xdr:rowOff>0</xdr:rowOff>
    </xdr:to>
    <xdr:graphicFrame macro="">
      <xdr:nvGraphicFramePr>
        <xdr:cNvPr id="10" name="Chart 9">
          <a:extLst>
            <a:ext uri="{FF2B5EF4-FFF2-40B4-BE49-F238E27FC236}">
              <a16:creationId xmlns:a16="http://schemas.microsoft.com/office/drawing/2014/main" id="{43DE11B7-D500-4748-BB59-08B3D27BB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 refreshedDate="46129.50617685185" createdVersion="8" refreshedVersion="8" minRefreshableVersion="3" recordCount="240" xr:uid="{62FE2C09-A933-410F-92D0-88AA516BFA76}">
  <cacheSource type="worksheet">
    <worksheetSource name="Table1"/>
  </cacheSource>
  <cacheFields count="12">
    <cacheField name="zone" numFmtId="0">
      <sharedItems count="10">
        <s v="Ameerpet"/>
        <s v="Banjara Hills"/>
        <s v="Begumpet"/>
        <s v="Dilsukhnagar"/>
        <s v="Hitech City"/>
        <s v="Kukatpally"/>
        <s v="LB Nagar"/>
        <s v="Malakpet"/>
        <s v="Miyapur"/>
        <s v="Secunderabad"/>
      </sharedItems>
    </cacheField>
    <cacheField name="year" numFmtId="0">
      <sharedItems containsSemiMixedTypes="0" containsString="0" containsNumber="1" containsInteger="1" minValue="2023" maxValue="2024" count="2">
        <n v="2023"/>
        <n v="2024"/>
      </sharedItems>
    </cacheField>
    <cacheField name="month" numFmtId="0">
      <sharedItems count="12">
        <s v="Jan"/>
        <s v="Feb"/>
        <s v="Mar"/>
        <s v="Apr"/>
        <s v="May"/>
        <s v="Jun"/>
        <s v="Jul"/>
        <s v="Aug"/>
        <s v="Sep"/>
        <s v="Oct"/>
        <s v="Nov"/>
        <s v="Dec"/>
      </sharedItems>
    </cacheField>
    <cacheField name="population" numFmtId="0">
      <sharedItems containsSemiMixedTypes="0" containsString="0" containsNumber="1" containsInteger="1" minValue="18037" maxValue="64516" count="239">
        <n v="41173"/>
        <n v="36850"/>
        <n v="32696"/>
        <n v="32821"/>
        <n v="60119"/>
        <n v="35909"/>
        <n v="55114"/>
        <n v="52765"/>
        <n v="55197"/>
        <n v="23346"/>
        <n v="51577"/>
        <n v="61721"/>
        <n v="31843"/>
        <n v="46223"/>
        <n v="41210"/>
        <n v="38516"/>
        <n v="19366"/>
        <n v="41714"/>
        <n v="43936"/>
        <n v="59499"/>
        <n v="60299"/>
        <n v="60959"/>
        <n v="55976"/>
        <n v="59105"/>
        <n v="19639"/>
        <n v="53741"/>
        <n v="19739"/>
        <n v="36231"/>
        <n v="28189"/>
        <n v="40541"/>
        <n v="42807"/>
        <n v="30601"/>
        <n v="33256"/>
        <n v="41283"/>
        <n v="29215"/>
        <n v="63099"/>
        <n v="20103"/>
        <n v="38622"/>
        <n v="27150"/>
        <n v="44175"/>
        <n v="25185"/>
        <n v="57052"/>
        <n v="25507"/>
        <n v="46492"/>
        <n v="29708"/>
        <n v="31035"/>
        <n v="18037"/>
        <n v="38153"/>
        <n v="58602"/>
        <n v="48426"/>
        <n v="37946"/>
        <n v="42314"/>
        <n v="28126"/>
        <n v="36333"/>
        <n v="24511"/>
        <n v="36080"/>
        <n v="60054"/>
        <n v="55000"/>
        <n v="33269"/>
        <n v="27482"/>
        <n v="26637"/>
        <n v="21434"/>
        <n v="41726"/>
        <n v="61181"/>
        <n v="44320"/>
        <n v="39109"/>
        <n v="39311"/>
        <n v="63991"/>
        <n v="46185"/>
        <n v="24231"/>
        <n v="49081"/>
        <n v="26527"/>
        <n v="56759"/>
        <n v="36813"/>
        <n v="48324"/>
        <n v="55464"/>
        <n v="24783"/>
        <n v="20565"/>
        <n v="42435"/>
        <n v="59345"/>
        <n v="61028"/>
        <n v="40925"/>
        <n v="23552"/>
        <n v="62919"/>
        <n v="38241"/>
        <n v="27015"/>
        <n v="52506"/>
        <n v="28633"/>
        <n v="20863"/>
        <n v="47420"/>
        <n v="30715"/>
        <n v="43026"/>
        <n v="34384"/>
        <n v="51810"/>
        <n v="27656"/>
        <n v="19747"/>
        <n v="22535"/>
        <n v="28821"/>
        <n v="63211"/>
        <n v="51919"/>
        <n v="56564"/>
        <n v="39654"/>
        <n v="55423"/>
        <n v="61187"/>
        <n v="60348"/>
        <n v="30465"/>
        <n v="22940"/>
        <n v="18967"/>
        <n v="32008"/>
        <n v="47819"/>
        <n v="49894"/>
        <n v="38552"/>
        <n v="51281"/>
        <n v="25856"/>
        <n v="61081"/>
        <n v="33642"/>
        <n v="22754"/>
        <n v="51153"/>
        <n v="28338"/>
        <n v="52664"/>
        <n v="26800"/>
        <n v="31803"/>
        <n v="21329"/>
        <n v="59753"/>
        <n v="25331"/>
        <n v="56175"/>
        <n v="20614"/>
        <n v="44632"/>
        <n v="29603"/>
        <n v="61903"/>
        <n v="20537"/>
        <n v="32915"/>
        <n v="36292"/>
        <n v="19808"/>
        <n v="25104"/>
        <n v="25578"/>
        <n v="53287"/>
        <n v="61531"/>
        <n v="51234"/>
        <n v="45554"/>
        <n v="44612"/>
        <n v="60906"/>
        <n v="29120"/>
        <n v="33392"/>
        <n v="35337"/>
        <n v="53688"/>
        <n v="38159"/>
        <n v="37928"/>
        <n v="20612"/>
        <n v="62190"/>
        <n v="35662"/>
        <n v="36229"/>
        <n v="40803"/>
        <n v="50471"/>
        <n v="38612"/>
        <n v="18075"/>
        <n v="50669"/>
        <n v="46712"/>
        <n v="64516"/>
        <n v="25435"/>
        <n v="51349"/>
        <n v="27479"/>
        <n v="36104"/>
        <n v="18168"/>
        <n v="27738"/>
        <n v="39088"/>
        <n v="44920"/>
        <n v="61495"/>
        <n v="25933"/>
        <n v="22519"/>
        <n v="41736"/>
        <n v="60628"/>
        <n v="56828"/>
        <n v="33981"/>
        <n v="39300"/>
        <n v="63952"/>
        <n v="44635"/>
        <n v="19130"/>
        <n v="49015"/>
        <n v="47736"/>
        <n v="53118"/>
        <n v="56639"/>
        <n v="32908"/>
        <n v="21573"/>
        <n v="18803"/>
        <n v="49308"/>
        <n v="27943"/>
        <n v="45274"/>
        <n v="47014"/>
        <n v="24503"/>
        <n v="29391"/>
        <n v="20139"/>
        <n v="56678"/>
        <n v="19005"/>
        <n v="35368"/>
        <n v="52971"/>
        <n v="20352"/>
        <n v="23923"/>
        <n v="63482"/>
        <n v="46225"/>
        <n v="23175"/>
        <n v="33216"/>
        <n v="59873"/>
        <n v="49667"/>
        <n v="19437"/>
        <n v="21214"/>
        <n v="33081"/>
        <n v="61200"/>
        <n v="46889"/>
        <n v="45230"/>
        <n v="35860"/>
        <n v="40198"/>
        <n v="62323"/>
        <n v="43858"/>
        <n v="56309"/>
        <n v="49138"/>
        <n v="63636"/>
        <n v="24985"/>
        <n v="54530"/>
        <n v="54629"/>
        <n v="51081"/>
        <n v="47495"/>
        <n v="59074"/>
        <n v="53399"/>
        <n v="45188"/>
        <n v="56278"/>
        <n v="41052"/>
        <n v="53791"/>
        <n v="43484"/>
        <n v="26364"/>
        <n v="23501"/>
        <n v="31871"/>
        <n v="45627"/>
        <n v="40935"/>
        <n v="34205"/>
        <n v="54960"/>
        <n v="25506"/>
        <n v="55735"/>
        <n v="63260"/>
      </sharedItems>
    </cacheField>
    <cacheField name="avg_daily_usage_L" numFmtId="0">
      <sharedItems containsSemiMixedTypes="0" containsString="0" containsNumber="1" minValue="160" maxValue="429.9" count="227">
        <n v="178.1"/>
        <n v="181.2"/>
        <n v="215"/>
        <n v="227.5"/>
        <n v="266.7"/>
        <n v="295.89999999999998"/>
        <n v="332.9"/>
        <n v="307"/>
        <n v="281.3"/>
        <n v="222"/>
        <n v="198.6"/>
        <n v="182.1"/>
        <n v="180.1"/>
        <n v="191.9"/>
        <n v="219.2"/>
        <n v="242.9"/>
        <n v="254.8"/>
        <n v="311.8"/>
        <n v="324.60000000000002"/>
        <n v="306.60000000000002"/>
        <n v="281.5"/>
        <n v="235.3"/>
        <n v="205.5"/>
        <n v="185.4"/>
        <n v="245.1"/>
        <n v="253.8"/>
        <n v="272.89999999999998"/>
        <n v="299.5"/>
        <n v="337.2"/>
        <n v="393.4"/>
        <n v="429.9"/>
        <n v="405.9"/>
        <n v="346.4"/>
        <n v="292.60000000000002"/>
        <n v="266.10000000000002"/>
        <n v="245.8"/>
        <n v="249.6"/>
        <n v="264.2"/>
        <n v="310.2"/>
        <n v="347.1"/>
        <n v="394"/>
        <n v="406.8"/>
        <n v="399.9"/>
        <n v="367.8"/>
        <n v="300.89999999999998"/>
        <n v="247.2"/>
        <n v="221.6"/>
        <n v="217.5"/>
        <n v="261.5"/>
        <n v="273.8"/>
        <n v="319.3"/>
        <n v="375.3"/>
        <n v="393.3"/>
        <n v="365.7"/>
        <n v="331.7"/>
        <n v="288.2"/>
        <n v="249.8"/>
        <n v="225.2"/>
        <n v="231.1"/>
        <n v="220.2"/>
        <n v="265.5"/>
        <n v="313"/>
        <n v="374.4"/>
        <n v="385.9"/>
        <n v="374.5"/>
        <n v="336.5"/>
        <n v="274.39999999999998"/>
        <n v="246.7"/>
        <n v="222.3"/>
        <n v="178.7"/>
        <n v="165.4"/>
        <n v="193.8"/>
        <n v="223.2"/>
        <n v="231.5"/>
        <n v="285.10000000000002"/>
        <n v="288.8"/>
        <n v="279.7"/>
        <n v="247.8"/>
        <n v="217.3"/>
        <n v="192"/>
        <n v="171.3"/>
        <n v="160"/>
        <n v="169.4"/>
        <n v="194.6"/>
        <n v="210.4"/>
        <n v="247.3"/>
        <n v="276.39999999999998"/>
        <n v="306.7"/>
        <n v="285.2"/>
        <n v="255.5"/>
        <n v="218.5"/>
        <n v="196.7"/>
        <n v="176.4"/>
        <n v="235.7"/>
        <n v="260.5"/>
        <n v="284.7"/>
        <n v="325.8"/>
        <n v="387.3"/>
        <n v="389.4"/>
        <n v="379.7"/>
        <n v="343.4"/>
        <n v="280.10000000000002"/>
        <n v="259.7"/>
        <n v="236.2"/>
        <n v="229.8"/>
        <n v="233.4"/>
        <n v="263.5"/>
        <n v="287.2"/>
        <n v="316.3"/>
        <n v="371.2"/>
        <n v="388.2"/>
        <n v="394.6"/>
        <n v="349.5"/>
        <n v="287.10000000000002"/>
        <n v="247.6"/>
        <n v="231.6"/>
        <n v="217.2"/>
        <n v="206.8"/>
        <n v="232.9"/>
        <n v="263.60000000000002"/>
        <n v="293"/>
        <n v="347.2"/>
        <n v="368.1"/>
        <n v="356.5"/>
        <n v="296.7"/>
        <n v="267.39999999999998"/>
        <n v="215.8"/>
        <n v="196.4"/>
        <n v="207.9"/>
        <n v="227.6"/>
        <n v="268.7"/>
        <n v="279.5"/>
        <n v="337.6"/>
        <n v="367.4"/>
        <n v="340.9"/>
        <n v="306.39999999999998"/>
        <n v="259"/>
        <n v="232.3"/>
        <n v="191.6"/>
        <n v="180"/>
        <n v="178.2"/>
        <n v="187.4"/>
        <n v="237.4"/>
        <n v="307.89999999999998"/>
        <n v="295.60000000000002"/>
        <n v="248.9"/>
        <n v="216.1"/>
        <n v="190.2"/>
        <n v="178.8"/>
        <n v="172.2"/>
        <n v="190.3"/>
        <n v="205.2"/>
        <n v="230.1"/>
        <n v="252.7"/>
        <n v="287"/>
        <n v="312.5"/>
        <n v="291.39999999999998"/>
        <n v="258.5"/>
        <n v="215.3"/>
        <n v="199.8"/>
        <n v="168.3"/>
        <n v="183.8"/>
        <n v="187.9"/>
        <n v="192.9"/>
        <n v="228.7"/>
        <n v="251.5"/>
        <n v="303.60000000000002"/>
        <n v="310.39999999999998"/>
        <n v="312.7"/>
        <n v="258.3"/>
        <n v="222.9"/>
        <n v="197.5"/>
        <n v="171.2"/>
        <n v="170.3"/>
        <n v="178.6"/>
        <n v="195.1"/>
        <n v="212.2"/>
        <n v="252.8"/>
        <n v="283.60000000000002"/>
        <n v="315"/>
        <n v="294.39999999999998"/>
        <n v="263.3"/>
        <n v="212.5"/>
        <n v="187.3"/>
        <n v="174.1"/>
        <n v="229.9"/>
        <n v="241.3"/>
        <n v="275.2"/>
        <n v="311.39999999999998"/>
        <n v="345.5"/>
        <n v="369.9"/>
        <n v="359.6"/>
        <n v="308.3"/>
        <n v="241.1"/>
        <n v="211.1"/>
        <n v="226.5"/>
        <n v="224.8"/>
        <n v="246.5"/>
        <n v="273.39999999999998"/>
        <n v="306.8"/>
        <n v="367.1"/>
        <n v="363.7"/>
        <n v="323.60000000000002"/>
        <n v="260.2"/>
        <n v="230.5"/>
        <n v="213.1"/>
        <n v="188.9"/>
        <n v="201.8"/>
        <n v="229.4"/>
        <n v="241.6"/>
        <n v="279"/>
        <n v="325.3"/>
        <n v="346.2"/>
        <n v="330.5"/>
        <n v="235.6"/>
        <n v="210.6"/>
        <n v="189.4"/>
        <n v="195.9"/>
        <n v="199.7"/>
        <n v="246.4"/>
        <n v="272.10000000000002"/>
        <n v="330.8"/>
        <n v="318.7"/>
        <n v="291.60000000000002"/>
        <n v="245"/>
        <n v="222.8"/>
        <n v="179.8"/>
      </sharedItems>
    </cacheField>
    <cacheField name="residential_L" numFmtId="0">
      <sharedItems containsSemiMixedTypes="0" containsString="0" containsNumber="1" minValue="119.5" maxValue="334.3"/>
    </cacheField>
    <cacheField name="commercial_L" numFmtId="0">
      <sharedItems containsSemiMixedTypes="0" containsString="0" containsNumber="1" minValue="21.3" maxValue="66.3"/>
    </cacheField>
    <cacheField name="industrial_L" numFmtId="0">
      <sharedItems containsSemiMixedTypes="0" containsString="0" containsNumber="1" minValue="14" maxValue="55.1"/>
    </cacheField>
    <cacheField name="rainfall_mm" numFmtId="0">
      <sharedItems containsSemiMixedTypes="0" containsString="0" containsNumber="1" minValue="0" maxValue="176.7"/>
    </cacheField>
    <cacheField name="avg_temp_C" numFmtId="0">
      <sharedItems containsSemiMixedTypes="0" containsString="0" containsNumber="1" minValue="18.8" maxValue="40.4"/>
    </cacheField>
    <cacheField name="conservation_flag" numFmtId="0">
      <sharedItems/>
    </cacheField>
    <cacheField name="Seasons" numFmtId="0">
      <sharedItems count="4">
        <s v="Winter"/>
        <s v="Pre-Monsoon"/>
        <s v="Summer"/>
        <s v="Monsoon"/>
      </sharedItems>
    </cacheField>
  </cacheFields>
  <extLst>
    <ext xmlns:x14="http://schemas.microsoft.com/office/spreadsheetml/2009/9/main" uri="{725AE2AE-9491-48be-B2B4-4EB974FC3084}">
      <x14:pivotCacheDefinition pivotCacheId="6499567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n v="123.1"/>
    <n v="31.4"/>
    <n v="23.6"/>
    <n v="0"/>
    <n v="23.6"/>
    <s v="LOW"/>
    <x v="0"/>
  </r>
  <r>
    <x v="0"/>
    <x v="0"/>
    <x v="1"/>
    <x v="1"/>
    <x v="1"/>
    <n v="134.6"/>
    <n v="25.6"/>
    <n v="21"/>
    <n v="1.9"/>
    <n v="24.5"/>
    <s v="LOW"/>
    <x v="0"/>
  </r>
  <r>
    <x v="0"/>
    <x v="0"/>
    <x v="2"/>
    <x v="2"/>
    <x v="2"/>
    <n v="156.6"/>
    <n v="30.3"/>
    <n v="28.1"/>
    <n v="7.4"/>
    <n v="28.7"/>
    <s v="LOW"/>
    <x v="1"/>
  </r>
  <r>
    <x v="0"/>
    <x v="0"/>
    <x v="3"/>
    <x v="3"/>
    <x v="3"/>
    <n v="159.5"/>
    <n v="38.799999999999997"/>
    <n v="29.2"/>
    <n v="36.200000000000003"/>
    <n v="32.6"/>
    <s v="LOW"/>
    <x v="2"/>
  </r>
  <r>
    <x v="0"/>
    <x v="0"/>
    <x v="4"/>
    <x v="4"/>
    <x v="4"/>
    <n v="194.8"/>
    <n v="41.7"/>
    <n v="30.2"/>
    <n v="19.600000000000001"/>
    <n v="35.1"/>
    <s v="MEDIUM"/>
    <x v="2"/>
  </r>
  <r>
    <x v="0"/>
    <x v="0"/>
    <x v="5"/>
    <x v="5"/>
    <x v="5"/>
    <n v="218.8"/>
    <n v="41"/>
    <n v="36.1"/>
    <n v="94.4"/>
    <n v="38.1"/>
    <s v="MEDIUM"/>
    <x v="2"/>
  </r>
  <r>
    <x v="0"/>
    <x v="0"/>
    <x v="6"/>
    <x v="6"/>
    <x v="6"/>
    <n v="251.8"/>
    <n v="41.3"/>
    <n v="39.799999999999997"/>
    <n v="163.5"/>
    <n v="31"/>
    <s v="HIGH"/>
    <x v="3"/>
  </r>
  <r>
    <x v="0"/>
    <x v="0"/>
    <x v="7"/>
    <x v="7"/>
    <x v="7"/>
    <n v="233.9"/>
    <n v="44.6"/>
    <n v="28.5"/>
    <n v="139.80000000000001"/>
    <n v="34.200000000000003"/>
    <s v="HIGH"/>
    <x v="3"/>
  </r>
  <r>
    <x v="0"/>
    <x v="0"/>
    <x v="8"/>
    <x v="8"/>
    <x v="8"/>
    <n v="200"/>
    <n v="48.7"/>
    <n v="32.6"/>
    <n v="119.4"/>
    <n v="33.1"/>
    <s v="MEDIUM"/>
    <x v="3"/>
  </r>
  <r>
    <x v="0"/>
    <x v="0"/>
    <x v="9"/>
    <x v="9"/>
    <x v="9"/>
    <n v="165.1"/>
    <n v="35.5"/>
    <n v="21.4"/>
    <n v="34.200000000000003"/>
    <n v="28.1"/>
    <s v="LOW"/>
    <x v="0"/>
  </r>
  <r>
    <x v="0"/>
    <x v="0"/>
    <x v="10"/>
    <x v="10"/>
    <x v="10"/>
    <n v="152.4"/>
    <n v="29"/>
    <n v="17.2"/>
    <n v="11.9"/>
    <n v="26.2"/>
    <s v="LOW"/>
    <x v="0"/>
  </r>
  <r>
    <x v="0"/>
    <x v="0"/>
    <x v="11"/>
    <x v="11"/>
    <x v="11"/>
    <n v="139.9"/>
    <n v="24.3"/>
    <n v="17.899999999999999"/>
    <n v="9.3000000000000007"/>
    <n v="21"/>
    <s v="LOW"/>
    <x v="0"/>
  </r>
  <r>
    <x v="0"/>
    <x v="1"/>
    <x v="0"/>
    <x v="12"/>
    <x v="12"/>
    <n v="127.5"/>
    <n v="29.9"/>
    <n v="22.7"/>
    <n v="3.8"/>
    <n v="22.7"/>
    <s v="LOW"/>
    <x v="0"/>
  </r>
  <r>
    <x v="0"/>
    <x v="1"/>
    <x v="1"/>
    <x v="13"/>
    <x v="13"/>
    <n v="147.1"/>
    <n v="27.4"/>
    <n v="17.399999999999999"/>
    <n v="4.5999999999999996"/>
    <n v="23.3"/>
    <s v="LOW"/>
    <x v="0"/>
  </r>
  <r>
    <x v="0"/>
    <x v="1"/>
    <x v="2"/>
    <x v="14"/>
    <x v="14"/>
    <n v="163.1"/>
    <n v="37.6"/>
    <n v="18.5"/>
    <n v="13.9"/>
    <n v="29.1"/>
    <s v="LOW"/>
    <x v="1"/>
  </r>
  <r>
    <x v="0"/>
    <x v="1"/>
    <x v="3"/>
    <x v="15"/>
    <x v="15"/>
    <n v="177.6"/>
    <n v="37.5"/>
    <n v="27.8"/>
    <n v="15.4"/>
    <n v="31.5"/>
    <s v="LOW"/>
    <x v="2"/>
  </r>
  <r>
    <x v="0"/>
    <x v="1"/>
    <x v="4"/>
    <x v="16"/>
    <x v="16"/>
    <n v="186.4"/>
    <n v="33.200000000000003"/>
    <n v="35.200000000000003"/>
    <n v="38.5"/>
    <n v="36.5"/>
    <s v="MEDIUM"/>
    <x v="2"/>
  </r>
  <r>
    <x v="0"/>
    <x v="1"/>
    <x v="5"/>
    <x v="17"/>
    <x v="17"/>
    <n v="232"/>
    <n v="53.2"/>
    <n v="26.6"/>
    <n v="95.6"/>
    <n v="40"/>
    <s v="HIGH"/>
    <x v="2"/>
  </r>
  <r>
    <x v="0"/>
    <x v="1"/>
    <x v="6"/>
    <x v="18"/>
    <x v="18"/>
    <n v="228.2"/>
    <n v="53.5"/>
    <n v="42.9"/>
    <n v="168.1"/>
    <n v="37.6"/>
    <s v="HIGH"/>
    <x v="3"/>
  </r>
  <r>
    <x v="0"/>
    <x v="1"/>
    <x v="7"/>
    <x v="19"/>
    <x v="19"/>
    <n v="233.8"/>
    <n v="46.2"/>
    <n v="26.6"/>
    <n v="152.69999999999999"/>
    <n v="32.200000000000003"/>
    <s v="HIGH"/>
    <x v="3"/>
  </r>
  <r>
    <x v="0"/>
    <x v="1"/>
    <x v="8"/>
    <x v="20"/>
    <x v="20"/>
    <n v="207.4"/>
    <n v="37.799999999999997"/>
    <n v="36.299999999999997"/>
    <n v="114"/>
    <n v="31.8"/>
    <s v="MEDIUM"/>
    <x v="3"/>
  </r>
  <r>
    <x v="0"/>
    <x v="1"/>
    <x v="9"/>
    <x v="21"/>
    <x v="21"/>
    <n v="173.7"/>
    <n v="41.7"/>
    <n v="19.899999999999999"/>
    <n v="37.299999999999997"/>
    <n v="26.8"/>
    <s v="LOW"/>
    <x v="0"/>
  </r>
  <r>
    <x v="0"/>
    <x v="1"/>
    <x v="10"/>
    <x v="22"/>
    <x v="22"/>
    <n v="147.4"/>
    <n v="36.1"/>
    <n v="22"/>
    <n v="1.9"/>
    <n v="23.2"/>
    <s v="LOW"/>
    <x v="0"/>
  </r>
  <r>
    <x v="0"/>
    <x v="1"/>
    <x v="11"/>
    <x v="23"/>
    <x v="23"/>
    <n v="140"/>
    <n v="27.1"/>
    <n v="18.3"/>
    <n v="0"/>
    <n v="21.4"/>
    <s v="LOW"/>
    <x v="0"/>
  </r>
  <r>
    <x v="1"/>
    <x v="0"/>
    <x v="0"/>
    <x v="24"/>
    <x v="24"/>
    <n v="181.6"/>
    <n v="33"/>
    <n v="30.5"/>
    <n v="8"/>
    <n v="22.5"/>
    <s v="LOW"/>
    <x v="0"/>
  </r>
  <r>
    <x v="1"/>
    <x v="0"/>
    <x v="1"/>
    <x v="25"/>
    <x v="25"/>
    <n v="195.3"/>
    <n v="36.9"/>
    <n v="21.6"/>
    <n v="14.9"/>
    <n v="25.2"/>
    <s v="MEDIUM"/>
    <x v="0"/>
  </r>
  <r>
    <x v="1"/>
    <x v="0"/>
    <x v="2"/>
    <x v="26"/>
    <x v="26"/>
    <n v="197.4"/>
    <n v="44.5"/>
    <n v="31"/>
    <n v="8.9"/>
    <n v="27.5"/>
    <s v="MEDIUM"/>
    <x v="1"/>
  </r>
  <r>
    <x v="1"/>
    <x v="0"/>
    <x v="3"/>
    <x v="27"/>
    <x v="27"/>
    <n v="224.9"/>
    <n v="36.1"/>
    <n v="38.5"/>
    <n v="23.3"/>
    <n v="30.8"/>
    <s v="MEDIUM"/>
    <x v="2"/>
  </r>
  <r>
    <x v="1"/>
    <x v="0"/>
    <x v="4"/>
    <x v="28"/>
    <x v="28"/>
    <n v="250"/>
    <n v="55.9"/>
    <n v="31.3"/>
    <n v="35.799999999999997"/>
    <n v="37.9"/>
    <s v="HIGH"/>
    <x v="2"/>
  </r>
  <r>
    <x v="1"/>
    <x v="0"/>
    <x v="5"/>
    <x v="29"/>
    <x v="29"/>
    <n v="281.39999999999998"/>
    <n v="66.3"/>
    <n v="45.7"/>
    <n v="93.4"/>
    <n v="36.200000000000003"/>
    <s v="HIGH"/>
    <x v="2"/>
  </r>
  <r>
    <x v="1"/>
    <x v="0"/>
    <x v="6"/>
    <x v="30"/>
    <x v="30"/>
    <n v="334.3"/>
    <n v="59.2"/>
    <n v="36.4"/>
    <n v="150.6"/>
    <n v="32.700000000000003"/>
    <s v="HIGH"/>
    <x v="3"/>
  </r>
  <r>
    <x v="1"/>
    <x v="0"/>
    <x v="7"/>
    <x v="31"/>
    <x v="31"/>
    <n v="306.5"/>
    <n v="49.8"/>
    <n v="49.6"/>
    <n v="146.1"/>
    <n v="34.200000000000003"/>
    <s v="HIGH"/>
    <x v="3"/>
  </r>
  <r>
    <x v="1"/>
    <x v="0"/>
    <x v="8"/>
    <x v="32"/>
    <x v="32"/>
    <n v="251.2"/>
    <n v="49.5"/>
    <n v="45.7"/>
    <n v="91.9"/>
    <n v="31.8"/>
    <s v="HIGH"/>
    <x v="3"/>
  </r>
  <r>
    <x v="1"/>
    <x v="0"/>
    <x v="9"/>
    <x v="33"/>
    <x v="33"/>
    <n v="225.7"/>
    <n v="39.799999999999997"/>
    <n v="27.1"/>
    <n v="58.3"/>
    <n v="27.2"/>
    <s v="MEDIUM"/>
    <x v="0"/>
  </r>
  <r>
    <x v="1"/>
    <x v="0"/>
    <x v="10"/>
    <x v="34"/>
    <x v="34"/>
    <n v="200.5"/>
    <n v="35.799999999999997"/>
    <n v="29.8"/>
    <n v="7.3"/>
    <n v="24.3"/>
    <s v="MEDIUM"/>
    <x v="0"/>
  </r>
  <r>
    <x v="1"/>
    <x v="0"/>
    <x v="11"/>
    <x v="35"/>
    <x v="35"/>
    <n v="178.3"/>
    <n v="39.6"/>
    <n v="27.9"/>
    <n v="15.5"/>
    <n v="18.8"/>
    <s v="LOW"/>
    <x v="0"/>
  </r>
  <r>
    <x v="1"/>
    <x v="1"/>
    <x v="0"/>
    <x v="36"/>
    <x v="21"/>
    <n v="171.2"/>
    <n v="33.9"/>
    <n v="30.2"/>
    <n v="25.2"/>
    <n v="23.3"/>
    <s v="LOW"/>
    <x v="0"/>
  </r>
  <r>
    <x v="1"/>
    <x v="1"/>
    <x v="1"/>
    <x v="37"/>
    <x v="36"/>
    <n v="189"/>
    <n v="37.4"/>
    <n v="23.2"/>
    <n v="18.7"/>
    <n v="23.6"/>
    <s v="LOW"/>
    <x v="0"/>
  </r>
  <r>
    <x v="1"/>
    <x v="1"/>
    <x v="2"/>
    <x v="38"/>
    <x v="37"/>
    <n v="198.6"/>
    <n v="40.6"/>
    <n v="25"/>
    <n v="10.9"/>
    <n v="31"/>
    <s v="MEDIUM"/>
    <x v="1"/>
  </r>
  <r>
    <x v="1"/>
    <x v="1"/>
    <x v="3"/>
    <x v="39"/>
    <x v="38"/>
    <n v="222.8"/>
    <n v="55.8"/>
    <n v="31.6"/>
    <n v="25.5"/>
    <n v="34.299999999999997"/>
    <s v="HIGH"/>
    <x v="2"/>
  </r>
  <r>
    <x v="1"/>
    <x v="1"/>
    <x v="4"/>
    <x v="40"/>
    <x v="39"/>
    <n v="271.10000000000002"/>
    <n v="45"/>
    <n v="31"/>
    <n v="22.3"/>
    <n v="35.200000000000003"/>
    <s v="HIGH"/>
    <x v="2"/>
  </r>
  <r>
    <x v="1"/>
    <x v="1"/>
    <x v="5"/>
    <x v="41"/>
    <x v="40"/>
    <n v="279.10000000000002"/>
    <n v="59.8"/>
    <n v="55.1"/>
    <n v="114.5"/>
    <n v="37.5"/>
    <s v="HIGH"/>
    <x v="2"/>
  </r>
  <r>
    <x v="1"/>
    <x v="1"/>
    <x v="6"/>
    <x v="42"/>
    <x v="41"/>
    <n v="295.7"/>
    <n v="61.9"/>
    <n v="49.2"/>
    <n v="163.5"/>
    <n v="37.1"/>
    <s v="HIGH"/>
    <x v="3"/>
  </r>
  <r>
    <x v="1"/>
    <x v="1"/>
    <x v="7"/>
    <x v="43"/>
    <x v="42"/>
    <n v="316"/>
    <n v="48.1"/>
    <n v="35.799999999999997"/>
    <n v="142.19999999999999"/>
    <n v="30.6"/>
    <s v="HIGH"/>
    <x v="3"/>
  </r>
  <r>
    <x v="1"/>
    <x v="1"/>
    <x v="8"/>
    <x v="44"/>
    <x v="43"/>
    <n v="280.7"/>
    <n v="46.5"/>
    <n v="40.6"/>
    <n v="96.4"/>
    <n v="29"/>
    <s v="HIGH"/>
    <x v="3"/>
  </r>
  <r>
    <x v="1"/>
    <x v="1"/>
    <x v="9"/>
    <x v="45"/>
    <x v="44"/>
    <n v="224.2"/>
    <n v="49.9"/>
    <n v="26.8"/>
    <n v="28.2"/>
    <n v="27.4"/>
    <s v="HIGH"/>
    <x v="0"/>
  </r>
  <r>
    <x v="1"/>
    <x v="1"/>
    <x v="10"/>
    <x v="46"/>
    <x v="37"/>
    <n v="194.2"/>
    <n v="39.4"/>
    <n v="30.6"/>
    <n v="22.2"/>
    <n v="24.9"/>
    <s v="MEDIUM"/>
    <x v="0"/>
  </r>
  <r>
    <x v="1"/>
    <x v="1"/>
    <x v="11"/>
    <x v="47"/>
    <x v="45"/>
    <n v="190.7"/>
    <n v="33.200000000000003"/>
    <n v="23.3"/>
    <n v="2.2999999999999998"/>
    <n v="20.8"/>
    <s v="LOW"/>
    <x v="0"/>
  </r>
  <r>
    <x v="2"/>
    <x v="0"/>
    <x v="0"/>
    <x v="48"/>
    <x v="46"/>
    <n v="158"/>
    <n v="34.1"/>
    <n v="29.5"/>
    <n v="11.1"/>
    <n v="21.5"/>
    <s v="LOW"/>
    <x v="0"/>
  </r>
  <r>
    <x v="2"/>
    <x v="0"/>
    <x v="1"/>
    <x v="49"/>
    <x v="47"/>
    <n v="158.19999999999999"/>
    <n v="30"/>
    <n v="29.3"/>
    <n v="3.4"/>
    <n v="25.4"/>
    <s v="LOW"/>
    <x v="0"/>
  </r>
  <r>
    <x v="2"/>
    <x v="0"/>
    <x v="2"/>
    <x v="50"/>
    <x v="48"/>
    <n v="191.8"/>
    <n v="33.200000000000003"/>
    <n v="36.5"/>
    <n v="13.2"/>
    <n v="30.9"/>
    <s v="MEDIUM"/>
    <x v="1"/>
  </r>
  <r>
    <x v="2"/>
    <x v="0"/>
    <x v="3"/>
    <x v="51"/>
    <x v="49"/>
    <n v="195.8"/>
    <n v="45.1"/>
    <n v="32.9"/>
    <n v="27.8"/>
    <n v="32.5"/>
    <s v="MEDIUM"/>
    <x v="2"/>
  </r>
  <r>
    <x v="2"/>
    <x v="0"/>
    <x v="4"/>
    <x v="52"/>
    <x v="50"/>
    <n v="225.9"/>
    <n v="50.9"/>
    <n v="42.5"/>
    <n v="34.9"/>
    <n v="35.200000000000003"/>
    <s v="HIGH"/>
    <x v="2"/>
  </r>
  <r>
    <x v="2"/>
    <x v="0"/>
    <x v="5"/>
    <x v="53"/>
    <x v="51"/>
    <n v="291.10000000000002"/>
    <n v="53.4"/>
    <n v="30.8"/>
    <n v="72"/>
    <n v="39.299999999999997"/>
    <s v="HIGH"/>
    <x v="2"/>
  </r>
  <r>
    <x v="2"/>
    <x v="0"/>
    <x v="6"/>
    <x v="54"/>
    <x v="52"/>
    <n v="282.8"/>
    <n v="55.9"/>
    <n v="54.6"/>
    <n v="176.7"/>
    <n v="33.799999999999997"/>
    <s v="HIGH"/>
    <x v="3"/>
  </r>
  <r>
    <x v="2"/>
    <x v="0"/>
    <x v="7"/>
    <x v="55"/>
    <x v="53"/>
    <n v="285.7"/>
    <n v="46.6"/>
    <n v="33.4"/>
    <n v="151.4"/>
    <n v="31.7"/>
    <s v="HIGH"/>
    <x v="3"/>
  </r>
  <r>
    <x v="2"/>
    <x v="0"/>
    <x v="8"/>
    <x v="56"/>
    <x v="54"/>
    <n v="233.3"/>
    <n v="59.1"/>
    <n v="39.299999999999997"/>
    <n v="118.6"/>
    <n v="31.4"/>
    <s v="HIGH"/>
    <x v="3"/>
  </r>
  <r>
    <x v="2"/>
    <x v="0"/>
    <x v="9"/>
    <x v="57"/>
    <x v="55"/>
    <n v="212.7"/>
    <n v="48.9"/>
    <n v="26.6"/>
    <n v="32.5"/>
    <n v="27.3"/>
    <s v="MEDIUM"/>
    <x v="0"/>
  </r>
  <r>
    <x v="2"/>
    <x v="0"/>
    <x v="10"/>
    <x v="58"/>
    <x v="56"/>
    <n v="192.7"/>
    <n v="32.200000000000003"/>
    <n v="24.9"/>
    <n v="15.6"/>
    <n v="23.9"/>
    <s v="LOW"/>
    <x v="0"/>
  </r>
  <r>
    <x v="2"/>
    <x v="0"/>
    <x v="11"/>
    <x v="59"/>
    <x v="57"/>
    <n v="159.5"/>
    <n v="34.299999999999997"/>
    <n v="31.4"/>
    <n v="7.4"/>
    <n v="20.3"/>
    <s v="LOW"/>
    <x v="0"/>
  </r>
  <r>
    <x v="2"/>
    <x v="1"/>
    <x v="0"/>
    <x v="60"/>
    <x v="58"/>
    <n v="173.7"/>
    <n v="38.700000000000003"/>
    <n v="18.7"/>
    <n v="5.7"/>
    <n v="23.3"/>
    <s v="LOW"/>
    <x v="0"/>
  </r>
  <r>
    <x v="2"/>
    <x v="1"/>
    <x v="1"/>
    <x v="61"/>
    <x v="59"/>
    <n v="168.9"/>
    <n v="32"/>
    <n v="19.3"/>
    <n v="10.7"/>
    <n v="25.4"/>
    <s v="LOW"/>
    <x v="0"/>
  </r>
  <r>
    <x v="2"/>
    <x v="1"/>
    <x v="2"/>
    <x v="62"/>
    <x v="36"/>
    <n v="190.3"/>
    <n v="31.6"/>
    <n v="27.7"/>
    <n v="0"/>
    <n v="28.9"/>
    <s v="LOW"/>
    <x v="1"/>
  </r>
  <r>
    <x v="2"/>
    <x v="1"/>
    <x v="3"/>
    <x v="63"/>
    <x v="60"/>
    <n v="196.8"/>
    <n v="39.200000000000003"/>
    <n v="29.5"/>
    <n v="21.5"/>
    <n v="32.9"/>
    <s v="MEDIUM"/>
    <x v="2"/>
  </r>
  <r>
    <x v="2"/>
    <x v="1"/>
    <x v="4"/>
    <x v="64"/>
    <x v="61"/>
    <n v="240.4"/>
    <n v="39.6"/>
    <n v="33"/>
    <n v="25.5"/>
    <n v="35.4"/>
    <s v="HIGH"/>
    <x v="2"/>
  </r>
  <r>
    <x v="2"/>
    <x v="1"/>
    <x v="5"/>
    <x v="65"/>
    <x v="62"/>
    <n v="284.39999999999998"/>
    <n v="46.4"/>
    <n v="43.6"/>
    <n v="92.8"/>
    <n v="40.1"/>
    <s v="HIGH"/>
    <x v="2"/>
  </r>
  <r>
    <x v="2"/>
    <x v="1"/>
    <x v="6"/>
    <x v="66"/>
    <x v="63"/>
    <n v="286.10000000000002"/>
    <n v="60.1"/>
    <n v="39.700000000000003"/>
    <n v="161.69999999999999"/>
    <n v="36.700000000000003"/>
    <s v="HIGH"/>
    <x v="3"/>
  </r>
  <r>
    <x v="2"/>
    <x v="1"/>
    <x v="7"/>
    <x v="67"/>
    <x v="64"/>
    <n v="282.3"/>
    <n v="59.7"/>
    <n v="32.5"/>
    <n v="154.1"/>
    <n v="31.7"/>
    <s v="HIGH"/>
    <x v="3"/>
  </r>
  <r>
    <x v="2"/>
    <x v="1"/>
    <x v="8"/>
    <x v="68"/>
    <x v="65"/>
    <n v="255.5"/>
    <n v="45"/>
    <n v="36"/>
    <n v="104.2"/>
    <n v="32.4"/>
    <s v="HIGH"/>
    <x v="3"/>
  </r>
  <r>
    <x v="2"/>
    <x v="1"/>
    <x v="9"/>
    <x v="69"/>
    <x v="66"/>
    <n v="209.2"/>
    <n v="38.1"/>
    <n v="27.1"/>
    <n v="44.2"/>
    <n v="31.7"/>
    <s v="MEDIUM"/>
    <x v="0"/>
  </r>
  <r>
    <x v="2"/>
    <x v="1"/>
    <x v="10"/>
    <x v="70"/>
    <x v="67"/>
    <n v="184.1"/>
    <n v="41.9"/>
    <n v="20.7"/>
    <n v="18.8"/>
    <n v="24.4"/>
    <s v="LOW"/>
    <x v="0"/>
  </r>
  <r>
    <x v="2"/>
    <x v="1"/>
    <x v="11"/>
    <x v="71"/>
    <x v="68"/>
    <n v="162.6"/>
    <n v="34.5"/>
    <n v="25.2"/>
    <n v="0"/>
    <n v="20.5"/>
    <s v="LOW"/>
    <x v="0"/>
  </r>
  <r>
    <x v="3"/>
    <x v="0"/>
    <x v="0"/>
    <x v="72"/>
    <x v="69"/>
    <n v="136.9"/>
    <n v="26.9"/>
    <n v="14.9"/>
    <n v="0.9"/>
    <n v="23.5"/>
    <s v="LOW"/>
    <x v="0"/>
  </r>
  <r>
    <x v="3"/>
    <x v="0"/>
    <x v="1"/>
    <x v="73"/>
    <x v="70"/>
    <n v="123"/>
    <n v="28.4"/>
    <n v="14"/>
    <n v="16.5"/>
    <n v="23.4"/>
    <s v="LOW"/>
    <x v="0"/>
  </r>
  <r>
    <x v="3"/>
    <x v="0"/>
    <x v="2"/>
    <x v="74"/>
    <x v="71"/>
    <n v="137.1"/>
    <n v="34.4"/>
    <n v="22.3"/>
    <n v="11.8"/>
    <n v="28.6"/>
    <s v="LOW"/>
    <x v="1"/>
  </r>
  <r>
    <x v="3"/>
    <x v="0"/>
    <x v="3"/>
    <x v="75"/>
    <x v="72"/>
    <n v="165.5"/>
    <n v="31.1"/>
    <n v="26.6"/>
    <n v="12.3"/>
    <n v="33.1"/>
    <s v="LOW"/>
    <x v="2"/>
  </r>
  <r>
    <x v="3"/>
    <x v="0"/>
    <x v="4"/>
    <x v="76"/>
    <x v="73"/>
    <n v="162.30000000000001"/>
    <n v="39.4"/>
    <n v="29.8"/>
    <n v="32.200000000000003"/>
    <n v="36.9"/>
    <s v="LOW"/>
    <x v="2"/>
  </r>
  <r>
    <x v="3"/>
    <x v="0"/>
    <x v="5"/>
    <x v="77"/>
    <x v="74"/>
    <n v="216.4"/>
    <n v="41.7"/>
    <n v="27"/>
    <n v="83.7"/>
    <n v="38.700000000000003"/>
    <s v="MEDIUM"/>
    <x v="2"/>
  </r>
  <r>
    <x v="3"/>
    <x v="0"/>
    <x v="6"/>
    <x v="78"/>
    <x v="75"/>
    <n v="208.4"/>
    <n v="41.4"/>
    <n v="39"/>
    <n v="167.3"/>
    <n v="32.799999999999997"/>
    <s v="MEDIUM"/>
    <x v="3"/>
  </r>
  <r>
    <x v="3"/>
    <x v="0"/>
    <x v="7"/>
    <x v="79"/>
    <x v="76"/>
    <n v="211.8"/>
    <n v="34.700000000000003"/>
    <n v="33.200000000000003"/>
    <n v="157.5"/>
    <n v="34.299999999999997"/>
    <s v="MEDIUM"/>
    <x v="3"/>
  </r>
  <r>
    <x v="3"/>
    <x v="0"/>
    <x v="8"/>
    <x v="80"/>
    <x v="77"/>
    <n v="174.9"/>
    <n v="38.700000000000003"/>
    <n v="34.200000000000003"/>
    <n v="112.4"/>
    <n v="31.5"/>
    <s v="LOW"/>
    <x v="3"/>
  </r>
  <r>
    <x v="3"/>
    <x v="0"/>
    <x v="9"/>
    <x v="81"/>
    <x v="78"/>
    <n v="161.30000000000001"/>
    <n v="34.6"/>
    <n v="21.4"/>
    <n v="42.2"/>
    <n v="27.3"/>
    <s v="LOW"/>
    <x v="0"/>
  </r>
  <r>
    <x v="3"/>
    <x v="0"/>
    <x v="10"/>
    <x v="82"/>
    <x v="79"/>
    <n v="145.69999999999999"/>
    <n v="27.4"/>
    <n v="18.899999999999999"/>
    <n v="19.7"/>
    <n v="21.3"/>
    <s v="LOW"/>
    <x v="0"/>
  </r>
  <r>
    <x v="3"/>
    <x v="0"/>
    <x v="11"/>
    <x v="83"/>
    <x v="80"/>
    <n v="126.7"/>
    <n v="21.5"/>
    <n v="23.1"/>
    <n v="0.3"/>
    <n v="19.399999999999999"/>
    <s v="LOW"/>
    <x v="0"/>
  </r>
  <r>
    <x v="3"/>
    <x v="1"/>
    <x v="0"/>
    <x v="84"/>
    <x v="81"/>
    <n v="124.2"/>
    <n v="21.3"/>
    <n v="14.5"/>
    <n v="15.9"/>
    <n v="21.4"/>
    <s v="LOW"/>
    <x v="0"/>
  </r>
  <r>
    <x v="3"/>
    <x v="1"/>
    <x v="1"/>
    <x v="85"/>
    <x v="82"/>
    <n v="131"/>
    <n v="23.3"/>
    <n v="15.1"/>
    <n v="10.8"/>
    <n v="23.3"/>
    <s v="LOW"/>
    <x v="0"/>
  </r>
  <r>
    <x v="3"/>
    <x v="1"/>
    <x v="2"/>
    <x v="86"/>
    <x v="83"/>
    <n v="151.30000000000001"/>
    <n v="27.3"/>
    <n v="16"/>
    <n v="12.5"/>
    <n v="28.2"/>
    <s v="LOW"/>
    <x v="1"/>
  </r>
  <r>
    <x v="3"/>
    <x v="1"/>
    <x v="3"/>
    <x v="87"/>
    <x v="84"/>
    <n v="157.30000000000001"/>
    <n v="34"/>
    <n v="19.100000000000001"/>
    <n v="2.7"/>
    <n v="30.7"/>
    <s v="LOW"/>
    <x v="2"/>
  </r>
  <r>
    <x v="3"/>
    <x v="1"/>
    <x v="4"/>
    <x v="88"/>
    <x v="85"/>
    <n v="181.7"/>
    <n v="39.700000000000003"/>
    <n v="25.9"/>
    <n v="28.8"/>
    <n v="38.6"/>
    <s v="LOW"/>
    <x v="2"/>
  </r>
  <r>
    <x v="3"/>
    <x v="1"/>
    <x v="5"/>
    <x v="89"/>
    <x v="86"/>
    <n v="213.3"/>
    <n v="37.1"/>
    <n v="26"/>
    <n v="112.1"/>
    <n v="37.4"/>
    <s v="MEDIUM"/>
    <x v="2"/>
  </r>
  <r>
    <x v="3"/>
    <x v="1"/>
    <x v="6"/>
    <x v="90"/>
    <x v="87"/>
    <n v="221.2"/>
    <n v="54.2"/>
    <n v="31.3"/>
    <n v="176.1"/>
    <n v="34.799999999999997"/>
    <s v="HIGH"/>
    <x v="3"/>
  </r>
  <r>
    <x v="3"/>
    <x v="1"/>
    <x v="7"/>
    <x v="91"/>
    <x v="88"/>
    <n v="212.4"/>
    <n v="41.4"/>
    <n v="31.4"/>
    <n v="148.5"/>
    <n v="33.9"/>
    <s v="MEDIUM"/>
    <x v="3"/>
  </r>
  <r>
    <x v="3"/>
    <x v="1"/>
    <x v="8"/>
    <x v="92"/>
    <x v="89"/>
    <n v="196.3"/>
    <n v="38"/>
    <n v="21.2"/>
    <n v="93.9"/>
    <n v="33.5"/>
    <s v="MEDIUM"/>
    <x v="3"/>
  </r>
  <r>
    <x v="3"/>
    <x v="1"/>
    <x v="9"/>
    <x v="93"/>
    <x v="90"/>
    <n v="159.9"/>
    <n v="30"/>
    <n v="28.6"/>
    <n v="45.7"/>
    <n v="26.8"/>
    <s v="LOW"/>
    <x v="0"/>
  </r>
  <r>
    <x v="3"/>
    <x v="1"/>
    <x v="10"/>
    <x v="94"/>
    <x v="91"/>
    <n v="146.5"/>
    <n v="24.7"/>
    <n v="25.5"/>
    <n v="30.6"/>
    <n v="22.5"/>
    <s v="LOW"/>
    <x v="0"/>
  </r>
  <r>
    <x v="3"/>
    <x v="1"/>
    <x v="11"/>
    <x v="95"/>
    <x v="92"/>
    <n v="132.5"/>
    <n v="25.4"/>
    <n v="18.5"/>
    <n v="0"/>
    <n v="22.1"/>
    <s v="LOW"/>
    <x v="0"/>
  </r>
  <r>
    <x v="4"/>
    <x v="0"/>
    <x v="0"/>
    <x v="96"/>
    <x v="93"/>
    <n v="167.2"/>
    <n v="35.799999999999997"/>
    <n v="32.700000000000003"/>
    <n v="15.3"/>
    <n v="23.6"/>
    <s v="LOW"/>
    <x v="0"/>
  </r>
  <r>
    <x v="4"/>
    <x v="0"/>
    <x v="1"/>
    <x v="97"/>
    <x v="67"/>
    <n v="180.5"/>
    <n v="42.5"/>
    <n v="23.7"/>
    <n v="1.9"/>
    <n v="25.5"/>
    <s v="LOW"/>
    <x v="0"/>
  </r>
  <r>
    <x v="4"/>
    <x v="0"/>
    <x v="2"/>
    <x v="98"/>
    <x v="94"/>
    <n v="200.4"/>
    <n v="36.1"/>
    <n v="24"/>
    <n v="26.5"/>
    <n v="28.9"/>
    <s v="MEDIUM"/>
    <x v="1"/>
  </r>
  <r>
    <x v="4"/>
    <x v="0"/>
    <x v="3"/>
    <x v="99"/>
    <x v="95"/>
    <n v="215.8"/>
    <n v="38.4"/>
    <n v="30.5"/>
    <n v="19.899999999999999"/>
    <n v="33.1"/>
    <s v="MEDIUM"/>
    <x v="2"/>
  </r>
  <r>
    <x v="4"/>
    <x v="0"/>
    <x v="4"/>
    <x v="100"/>
    <x v="96"/>
    <n v="254.9"/>
    <n v="40.5"/>
    <n v="30.4"/>
    <n v="23.1"/>
    <n v="36.200000000000003"/>
    <s v="HIGH"/>
    <x v="2"/>
  </r>
  <r>
    <x v="4"/>
    <x v="0"/>
    <x v="5"/>
    <x v="101"/>
    <x v="97"/>
    <n v="302.7"/>
    <n v="52"/>
    <n v="32.6"/>
    <n v="91.6"/>
    <n v="37.1"/>
    <s v="HIGH"/>
    <x v="2"/>
  </r>
  <r>
    <x v="4"/>
    <x v="0"/>
    <x v="6"/>
    <x v="102"/>
    <x v="98"/>
    <n v="292.39999999999998"/>
    <n v="52.4"/>
    <n v="44.6"/>
    <n v="154.9"/>
    <n v="35.299999999999997"/>
    <s v="HIGH"/>
    <x v="3"/>
  </r>
  <r>
    <x v="4"/>
    <x v="0"/>
    <x v="7"/>
    <x v="103"/>
    <x v="99"/>
    <n v="284.3"/>
    <n v="55.2"/>
    <n v="40.200000000000003"/>
    <n v="129.19999999999999"/>
    <n v="33.5"/>
    <s v="HIGH"/>
    <x v="3"/>
  </r>
  <r>
    <x v="4"/>
    <x v="0"/>
    <x v="8"/>
    <x v="104"/>
    <x v="100"/>
    <n v="264.39999999999998"/>
    <n v="49.5"/>
    <n v="29.5"/>
    <n v="99.4"/>
    <n v="33.5"/>
    <s v="HIGH"/>
    <x v="3"/>
  </r>
  <r>
    <x v="4"/>
    <x v="0"/>
    <x v="9"/>
    <x v="105"/>
    <x v="101"/>
    <n v="212.7"/>
    <n v="36"/>
    <n v="31.4"/>
    <n v="49.5"/>
    <n v="29.5"/>
    <s v="MEDIUM"/>
    <x v="0"/>
  </r>
  <r>
    <x v="4"/>
    <x v="0"/>
    <x v="10"/>
    <x v="106"/>
    <x v="102"/>
    <n v="187.4"/>
    <n v="44.6"/>
    <n v="27.7"/>
    <n v="11.9"/>
    <n v="23.8"/>
    <s v="MEDIUM"/>
    <x v="0"/>
  </r>
  <r>
    <x v="4"/>
    <x v="0"/>
    <x v="11"/>
    <x v="107"/>
    <x v="103"/>
    <n v="162.1"/>
    <n v="41.5"/>
    <n v="32.6"/>
    <n v="9.5"/>
    <n v="20.3"/>
    <s v="LOW"/>
    <x v="0"/>
  </r>
  <r>
    <x v="4"/>
    <x v="1"/>
    <x v="0"/>
    <x v="108"/>
    <x v="104"/>
    <n v="159.5"/>
    <n v="40"/>
    <n v="30.3"/>
    <n v="5.3"/>
    <n v="22.1"/>
    <s v="LOW"/>
    <x v="0"/>
  </r>
  <r>
    <x v="4"/>
    <x v="1"/>
    <x v="1"/>
    <x v="109"/>
    <x v="105"/>
    <n v="172.9"/>
    <n v="37.799999999999997"/>
    <n v="22.7"/>
    <n v="5.9"/>
    <n v="22.4"/>
    <s v="LOW"/>
    <x v="0"/>
  </r>
  <r>
    <x v="4"/>
    <x v="1"/>
    <x v="2"/>
    <x v="110"/>
    <x v="106"/>
    <n v="203.7"/>
    <n v="36.299999999999997"/>
    <n v="23.5"/>
    <n v="24.9"/>
    <n v="28.6"/>
    <s v="MEDIUM"/>
    <x v="1"/>
  </r>
  <r>
    <x v="4"/>
    <x v="1"/>
    <x v="3"/>
    <x v="111"/>
    <x v="107"/>
    <n v="218.7"/>
    <n v="44.5"/>
    <n v="24"/>
    <n v="0"/>
    <n v="32.9"/>
    <s v="MEDIUM"/>
    <x v="2"/>
  </r>
  <r>
    <x v="4"/>
    <x v="1"/>
    <x v="4"/>
    <x v="112"/>
    <x v="108"/>
    <n v="248"/>
    <n v="41.5"/>
    <n v="26.8"/>
    <n v="15.6"/>
    <n v="35.700000000000003"/>
    <s v="HIGH"/>
    <x v="2"/>
  </r>
  <r>
    <x v="4"/>
    <x v="1"/>
    <x v="5"/>
    <x v="113"/>
    <x v="109"/>
    <n v="263.3"/>
    <n v="57.2"/>
    <n v="50.7"/>
    <n v="92.5"/>
    <n v="37.799999999999997"/>
    <s v="HIGH"/>
    <x v="2"/>
  </r>
  <r>
    <x v="4"/>
    <x v="1"/>
    <x v="6"/>
    <x v="114"/>
    <x v="110"/>
    <n v="284.7"/>
    <n v="58.8"/>
    <n v="44.7"/>
    <n v="171.2"/>
    <n v="34.6"/>
    <s v="HIGH"/>
    <x v="3"/>
  </r>
  <r>
    <x v="4"/>
    <x v="1"/>
    <x v="7"/>
    <x v="115"/>
    <x v="111"/>
    <n v="306.2"/>
    <n v="50.5"/>
    <n v="37.9"/>
    <n v="138.30000000000001"/>
    <n v="31.7"/>
    <s v="HIGH"/>
    <x v="3"/>
  </r>
  <r>
    <x v="4"/>
    <x v="1"/>
    <x v="8"/>
    <x v="116"/>
    <x v="112"/>
    <n v="266.3"/>
    <n v="55"/>
    <n v="28.2"/>
    <n v="105.8"/>
    <n v="30.7"/>
    <s v="HIGH"/>
    <x v="3"/>
  </r>
  <r>
    <x v="4"/>
    <x v="1"/>
    <x v="9"/>
    <x v="117"/>
    <x v="113"/>
    <n v="209.1"/>
    <n v="50.5"/>
    <n v="27.5"/>
    <n v="60.1"/>
    <n v="25.9"/>
    <s v="MEDIUM"/>
    <x v="0"/>
  </r>
  <r>
    <x v="4"/>
    <x v="1"/>
    <x v="10"/>
    <x v="118"/>
    <x v="114"/>
    <n v="183.5"/>
    <n v="37.799999999999997"/>
    <n v="26.3"/>
    <n v="5.7"/>
    <n v="28.1"/>
    <s v="LOW"/>
    <x v="0"/>
  </r>
  <r>
    <x v="4"/>
    <x v="1"/>
    <x v="11"/>
    <x v="119"/>
    <x v="115"/>
    <n v="173.9"/>
    <n v="39.1"/>
    <n v="18.600000000000001"/>
    <n v="1.5"/>
    <n v="23.1"/>
    <s v="LOW"/>
    <x v="0"/>
  </r>
  <r>
    <x v="5"/>
    <x v="0"/>
    <x v="0"/>
    <x v="120"/>
    <x v="116"/>
    <n v="158.69999999999999"/>
    <n v="37.700000000000003"/>
    <n v="20.8"/>
    <n v="4.7"/>
    <n v="21.1"/>
    <s v="LOW"/>
    <x v="0"/>
  </r>
  <r>
    <x v="5"/>
    <x v="0"/>
    <x v="1"/>
    <x v="121"/>
    <x v="117"/>
    <n v="154.1"/>
    <n v="27.3"/>
    <n v="25.4"/>
    <n v="2.8"/>
    <n v="24.1"/>
    <s v="LOW"/>
    <x v="0"/>
  </r>
  <r>
    <x v="5"/>
    <x v="0"/>
    <x v="2"/>
    <x v="122"/>
    <x v="118"/>
    <n v="179.1"/>
    <n v="33.9"/>
    <n v="19.899999999999999"/>
    <n v="11.9"/>
    <n v="29.1"/>
    <s v="LOW"/>
    <x v="1"/>
  </r>
  <r>
    <x v="5"/>
    <x v="0"/>
    <x v="3"/>
    <x v="123"/>
    <x v="119"/>
    <n v="192.8"/>
    <n v="34.200000000000003"/>
    <n v="36.6"/>
    <n v="3.4"/>
    <n v="33.799999999999997"/>
    <s v="MEDIUM"/>
    <x v="2"/>
  </r>
  <r>
    <x v="5"/>
    <x v="0"/>
    <x v="4"/>
    <x v="124"/>
    <x v="120"/>
    <n v="217.5"/>
    <n v="50.7"/>
    <n v="24.8"/>
    <n v="38.299999999999997"/>
    <n v="35.9"/>
    <s v="MEDIUM"/>
    <x v="2"/>
  </r>
  <r>
    <x v="5"/>
    <x v="0"/>
    <x v="5"/>
    <x v="125"/>
    <x v="121"/>
    <n v="257.3"/>
    <n v="50.6"/>
    <n v="39.299999999999997"/>
    <n v="104.2"/>
    <n v="38.4"/>
    <s v="HIGH"/>
    <x v="2"/>
  </r>
  <r>
    <x v="5"/>
    <x v="0"/>
    <x v="6"/>
    <x v="126"/>
    <x v="122"/>
    <n v="270"/>
    <n v="48.8"/>
    <n v="49.3"/>
    <n v="165"/>
    <n v="35.700000000000003"/>
    <s v="HIGH"/>
    <x v="3"/>
  </r>
  <r>
    <x v="5"/>
    <x v="0"/>
    <x v="7"/>
    <x v="127"/>
    <x v="123"/>
    <n v="248.3"/>
    <n v="58.8"/>
    <n v="49.4"/>
    <n v="151.6"/>
    <n v="32.5"/>
    <s v="HIGH"/>
    <x v="3"/>
  </r>
  <r>
    <x v="5"/>
    <x v="0"/>
    <x v="8"/>
    <x v="128"/>
    <x v="124"/>
    <n v="221.3"/>
    <n v="36"/>
    <n v="39.4"/>
    <n v="109.2"/>
    <n v="29.7"/>
    <s v="MEDIUM"/>
    <x v="3"/>
  </r>
  <r>
    <x v="5"/>
    <x v="0"/>
    <x v="9"/>
    <x v="129"/>
    <x v="125"/>
    <n v="187"/>
    <n v="45.1"/>
    <n v="35.299999999999997"/>
    <n v="43.1"/>
    <n v="30.6"/>
    <s v="MEDIUM"/>
    <x v="0"/>
  </r>
  <r>
    <x v="5"/>
    <x v="0"/>
    <x v="10"/>
    <x v="130"/>
    <x v="126"/>
    <n v="158.6"/>
    <n v="28.8"/>
    <n v="28.4"/>
    <n v="19.5"/>
    <n v="22.5"/>
    <s v="LOW"/>
    <x v="0"/>
  </r>
  <r>
    <x v="5"/>
    <x v="0"/>
    <x v="11"/>
    <x v="131"/>
    <x v="91"/>
    <n v="146.9"/>
    <n v="31.4"/>
    <n v="18.399999999999999"/>
    <n v="0"/>
    <n v="21.7"/>
    <s v="LOW"/>
    <x v="0"/>
  </r>
  <r>
    <x v="5"/>
    <x v="1"/>
    <x v="0"/>
    <x v="132"/>
    <x v="127"/>
    <n v="147"/>
    <n v="29.6"/>
    <n v="19.8"/>
    <n v="0"/>
    <n v="19.399999999999999"/>
    <s v="LOW"/>
    <x v="0"/>
  </r>
  <r>
    <x v="5"/>
    <x v="1"/>
    <x v="1"/>
    <x v="133"/>
    <x v="128"/>
    <n v="152.69999999999999"/>
    <n v="37.1"/>
    <n v="18.100000000000001"/>
    <n v="19.100000000000001"/>
    <n v="28.5"/>
    <s v="LOW"/>
    <x v="0"/>
  </r>
  <r>
    <x v="5"/>
    <x v="1"/>
    <x v="2"/>
    <x v="134"/>
    <x v="129"/>
    <n v="169.2"/>
    <n v="32"/>
    <n v="26.4"/>
    <n v="14.4"/>
    <n v="27.4"/>
    <s v="LOW"/>
    <x v="1"/>
  </r>
  <r>
    <x v="5"/>
    <x v="1"/>
    <x v="3"/>
    <x v="135"/>
    <x v="130"/>
    <n v="199.5"/>
    <n v="41.5"/>
    <n v="27.7"/>
    <n v="17.5"/>
    <n v="35.4"/>
    <s v="MEDIUM"/>
    <x v="2"/>
  </r>
  <r>
    <x v="5"/>
    <x v="1"/>
    <x v="4"/>
    <x v="136"/>
    <x v="131"/>
    <n v="196.3"/>
    <n v="49.3"/>
    <n v="33.9"/>
    <n v="27.5"/>
    <n v="36"/>
    <s v="MEDIUM"/>
    <x v="2"/>
  </r>
  <r>
    <x v="5"/>
    <x v="1"/>
    <x v="5"/>
    <x v="137"/>
    <x v="132"/>
    <n v="238.8"/>
    <n v="53.1"/>
    <n v="45.7"/>
    <n v="92.3"/>
    <n v="37.299999999999997"/>
    <s v="HIGH"/>
    <x v="2"/>
  </r>
  <r>
    <x v="5"/>
    <x v="1"/>
    <x v="6"/>
    <x v="138"/>
    <x v="133"/>
    <n v="278.10000000000002"/>
    <n v="53.1"/>
    <n v="36.200000000000003"/>
    <n v="158.19999999999999"/>
    <n v="35.700000000000003"/>
    <s v="HIGH"/>
    <x v="3"/>
  </r>
  <r>
    <x v="5"/>
    <x v="1"/>
    <x v="7"/>
    <x v="139"/>
    <x v="134"/>
    <n v="251.3"/>
    <n v="48.7"/>
    <n v="40.9"/>
    <n v="144.9"/>
    <n v="32.1"/>
    <s v="HIGH"/>
    <x v="3"/>
  </r>
  <r>
    <x v="5"/>
    <x v="1"/>
    <x v="8"/>
    <x v="140"/>
    <x v="135"/>
    <n v="235"/>
    <n v="36.799999999999997"/>
    <n v="34.6"/>
    <n v="107.6"/>
    <n v="32.5"/>
    <s v="HIGH"/>
    <x v="3"/>
  </r>
  <r>
    <x v="5"/>
    <x v="1"/>
    <x v="9"/>
    <x v="141"/>
    <x v="136"/>
    <n v="195.4"/>
    <n v="37.9"/>
    <n v="25.7"/>
    <n v="39.6"/>
    <n v="26.4"/>
    <s v="MEDIUM"/>
    <x v="0"/>
  </r>
  <r>
    <x v="5"/>
    <x v="1"/>
    <x v="10"/>
    <x v="142"/>
    <x v="137"/>
    <n v="172.7"/>
    <n v="31.8"/>
    <n v="27.8"/>
    <n v="7.8"/>
    <n v="22.2"/>
    <s v="LOW"/>
    <x v="0"/>
  </r>
  <r>
    <x v="5"/>
    <x v="1"/>
    <x v="11"/>
    <x v="143"/>
    <x v="138"/>
    <n v="142.9"/>
    <n v="25.6"/>
    <n v="23.1"/>
    <n v="6.7"/>
    <n v="21.3"/>
    <s v="LOW"/>
    <x v="0"/>
  </r>
  <r>
    <x v="6"/>
    <x v="0"/>
    <x v="0"/>
    <x v="144"/>
    <x v="139"/>
    <n v="128.69999999999999"/>
    <n v="28.4"/>
    <n v="22.9"/>
    <n v="0"/>
    <n v="19"/>
    <s v="LOW"/>
    <x v="0"/>
  </r>
  <r>
    <x v="6"/>
    <x v="0"/>
    <x v="1"/>
    <x v="145"/>
    <x v="140"/>
    <n v="138.5"/>
    <n v="23"/>
    <n v="16.7"/>
    <n v="7.5"/>
    <n v="25.8"/>
    <s v="LOW"/>
    <x v="0"/>
  </r>
  <r>
    <x v="6"/>
    <x v="0"/>
    <x v="2"/>
    <x v="146"/>
    <x v="141"/>
    <n v="133.9"/>
    <n v="31.8"/>
    <n v="21.7"/>
    <n v="21.5"/>
    <n v="28.2"/>
    <s v="LOW"/>
    <x v="1"/>
  </r>
  <r>
    <x v="6"/>
    <x v="0"/>
    <x v="3"/>
    <x v="147"/>
    <x v="47"/>
    <n v="152.6"/>
    <n v="38.4"/>
    <n v="26.5"/>
    <n v="6.3"/>
    <n v="33"/>
    <s v="LOW"/>
    <x v="2"/>
  </r>
  <r>
    <x v="6"/>
    <x v="0"/>
    <x v="4"/>
    <x v="148"/>
    <x v="142"/>
    <n v="166.7"/>
    <n v="39"/>
    <n v="31.7"/>
    <n v="26.2"/>
    <n v="36.799999999999997"/>
    <s v="LOW"/>
    <x v="2"/>
  </r>
  <r>
    <x v="6"/>
    <x v="0"/>
    <x v="5"/>
    <x v="149"/>
    <x v="20"/>
    <n v="201.4"/>
    <n v="43.5"/>
    <n v="36.6"/>
    <n v="132.5"/>
    <n v="36.200000000000003"/>
    <s v="MEDIUM"/>
    <x v="2"/>
  </r>
  <r>
    <x v="6"/>
    <x v="0"/>
    <x v="6"/>
    <x v="150"/>
    <x v="143"/>
    <n v="221.6"/>
    <n v="51"/>
    <n v="35.299999999999997"/>
    <n v="170.5"/>
    <n v="36.6"/>
    <s v="HIGH"/>
    <x v="3"/>
  </r>
  <r>
    <x v="6"/>
    <x v="0"/>
    <x v="7"/>
    <x v="151"/>
    <x v="144"/>
    <n v="222.8"/>
    <n v="45.9"/>
    <n v="26.9"/>
    <n v="137.30000000000001"/>
    <n v="31.7"/>
    <s v="MEDIUM"/>
    <x v="3"/>
  </r>
  <r>
    <x v="6"/>
    <x v="0"/>
    <x v="8"/>
    <x v="152"/>
    <x v="145"/>
    <n v="188.2"/>
    <n v="34.700000000000003"/>
    <n v="26"/>
    <n v="114.7"/>
    <n v="31.5"/>
    <s v="LOW"/>
    <x v="3"/>
  </r>
  <r>
    <x v="6"/>
    <x v="0"/>
    <x v="9"/>
    <x v="153"/>
    <x v="146"/>
    <n v="156.9"/>
    <n v="38.200000000000003"/>
    <n v="21"/>
    <n v="49.9"/>
    <n v="26.3"/>
    <s v="LOW"/>
    <x v="0"/>
  </r>
  <r>
    <x v="6"/>
    <x v="0"/>
    <x v="10"/>
    <x v="154"/>
    <x v="147"/>
    <n v="148"/>
    <n v="24.1"/>
    <n v="18.100000000000001"/>
    <n v="17.8"/>
    <n v="21"/>
    <s v="LOW"/>
    <x v="0"/>
  </r>
  <r>
    <x v="6"/>
    <x v="0"/>
    <x v="11"/>
    <x v="155"/>
    <x v="148"/>
    <n v="130.1"/>
    <n v="27.3"/>
    <n v="21.4"/>
    <n v="0.5"/>
    <n v="21.5"/>
    <s v="LOW"/>
    <x v="0"/>
  </r>
  <r>
    <x v="6"/>
    <x v="1"/>
    <x v="0"/>
    <x v="156"/>
    <x v="149"/>
    <n v="123.5"/>
    <n v="28.5"/>
    <n v="20.2"/>
    <n v="8.6"/>
    <n v="23.8"/>
    <s v="LOW"/>
    <x v="0"/>
  </r>
  <r>
    <x v="6"/>
    <x v="1"/>
    <x v="1"/>
    <x v="157"/>
    <x v="150"/>
    <n v="136.6"/>
    <n v="28.4"/>
    <n v="25.3"/>
    <n v="21.9"/>
    <n v="25.4"/>
    <s v="LOW"/>
    <x v="0"/>
  </r>
  <r>
    <x v="6"/>
    <x v="1"/>
    <x v="2"/>
    <x v="158"/>
    <x v="151"/>
    <n v="155.4"/>
    <n v="31.4"/>
    <n v="18.399999999999999"/>
    <n v="7.8"/>
    <n v="28.8"/>
    <s v="LOW"/>
    <x v="1"/>
  </r>
  <r>
    <x v="6"/>
    <x v="1"/>
    <x v="3"/>
    <x v="159"/>
    <x v="152"/>
    <n v="176.1"/>
    <n v="29.2"/>
    <n v="24.8"/>
    <n v="23.8"/>
    <n v="31.5"/>
    <s v="LOW"/>
    <x v="2"/>
  </r>
  <r>
    <x v="6"/>
    <x v="1"/>
    <x v="4"/>
    <x v="160"/>
    <x v="153"/>
    <n v="185.2"/>
    <n v="36.6"/>
    <n v="30.9"/>
    <n v="16.8"/>
    <n v="37.200000000000003"/>
    <s v="MEDIUM"/>
    <x v="2"/>
  </r>
  <r>
    <x v="6"/>
    <x v="1"/>
    <x v="5"/>
    <x v="161"/>
    <x v="154"/>
    <n v="207.1"/>
    <n v="50.3"/>
    <n v="29.6"/>
    <n v="74.5"/>
    <n v="37.799999999999997"/>
    <s v="MEDIUM"/>
    <x v="2"/>
  </r>
  <r>
    <x v="6"/>
    <x v="1"/>
    <x v="6"/>
    <x v="162"/>
    <x v="155"/>
    <n v="219.5"/>
    <n v="53.5"/>
    <n v="39.5"/>
    <n v="155.6"/>
    <n v="37.200000000000003"/>
    <s v="HIGH"/>
    <x v="3"/>
  </r>
  <r>
    <x v="6"/>
    <x v="1"/>
    <x v="7"/>
    <x v="163"/>
    <x v="156"/>
    <n v="222.9"/>
    <n v="40.200000000000003"/>
    <n v="28.3"/>
    <n v="113.5"/>
    <n v="30.1"/>
    <s v="MEDIUM"/>
    <x v="3"/>
  </r>
  <r>
    <x v="6"/>
    <x v="1"/>
    <x v="8"/>
    <x v="164"/>
    <x v="157"/>
    <n v="192.4"/>
    <n v="38.5"/>
    <n v="27.6"/>
    <n v="101.6"/>
    <n v="33.200000000000003"/>
    <s v="MEDIUM"/>
    <x v="3"/>
  </r>
  <r>
    <x v="6"/>
    <x v="1"/>
    <x v="9"/>
    <x v="165"/>
    <x v="158"/>
    <n v="148.30000000000001"/>
    <n v="38.5"/>
    <n v="28.5"/>
    <n v="45.7"/>
    <n v="29.5"/>
    <s v="LOW"/>
    <x v="0"/>
  </r>
  <r>
    <x v="6"/>
    <x v="1"/>
    <x v="10"/>
    <x v="166"/>
    <x v="159"/>
    <n v="150.4"/>
    <n v="32.9"/>
    <n v="16.5"/>
    <n v="9.9"/>
    <n v="21.4"/>
    <s v="LOW"/>
    <x v="0"/>
  </r>
  <r>
    <x v="6"/>
    <x v="1"/>
    <x v="11"/>
    <x v="167"/>
    <x v="160"/>
    <n v="120"/>
    <n v="26.8"/>
    <n v="21.5"/>
    <n v="20.9"/>
    <n v="24.2"/>
    <s v="LOW"/>
    <x v="0"/>
  </r>
  <r>
    <x v="7"/>
    <x v="0"/>
    <x v="0"/>
    <x v="168"/>
    <x v="161"/>
    <n v="132"/>
    <n v="28.3"/>
    <n v="23.5"/>
    <n v="16.899999999999999"/>
    <n v="22.5"/>
    <s v="LOW"/>
    <x v="0"/>
  </r>
  <r>
    <x v="7"/>
    <x v="0"/>
    <x v="1"/>
    <x v="169"/>
    <x v="162"/>
    <n v="140.80000000000001"/>
    <n v="26.4"/>
    <n v="20.7"/>
    <n v="18.899999999999999"/>
    <n v="22.7"/>
    <s v="LOW"/>
    <x v="0"/>
  </r>
  <r>
    <x v="7"/>
    <x v="0"/>
    <x v="2"/>
    <x v="170"/>
    <x v="163"/>
    <n v="137.4"/>
    <n v="32.700000000000003"/>
    <n v="22.8"/>
    <n v="9.1999999999999993"/>
    <n v="27.5"/>
    <s v="LOW"/>
    <x v="1"/>
  </r>
  <r>
    <x v="7"/>
    <x v="0"/>
    <x v="3"/>
    <x v="171"/>
    <x v="164"/>
    <n v="168.2"/>
    <n v="38.5"/>
    <n v="22"/>
    <n v="6.8"/>
    <n v="32.6"/>
    <s v="LOW"/>
    <x v="2"/>
  </r>
  <r>
    <x v="7"/>
    <x v="0"/>
    <x v="4"/>
    <x v="172"/>
    <x v="165"/>
    <n v="184.3"/>
    <n v="43"/>
    <n v="24.2"/>
    <n v="30.1"/>
    <n v="36.4"/>
    <s v="MEDIUM"/>
    <x v="2"/>
  </r>
  <r>
    <x v="7"/>
    <x v="0"/>
    <x v="5"/>
    <x v="173"/>
    <x v="166"/>
    <n v="218.8"/>
    <n v="46.8"/>
    <n v="38"/>
    <n v="90.5"/>
    <n v="36.799999999999997"/>
    <s v="HIGH"/>
    <x v="2"/>
  </r>
  <r>
    <x v="7"/>
    <x v="0"/>
    <x v="6"/>
    <x v="174"/>
    <x v="167"/>
    <n v="241"/>
    <n v="41.2"/>
    <n v="28.2"/>
    <n v="167.7"/>
    <n v="33.700000000000003"/>
    <s v="HIGH"/>
    <x v="3"/>
  </r>
  <r>
    <x v="7"/>
    <x v="0"/>
    <x v="7"/>
    <x v="175"/>
    <x v="168"/>
    <n v="223.2"/>
    <n v="48"/>
    <n v="41.5"/>
    <n v="138.5"/>
    <n v="32.9"/>
    <s v="HIGH"/>
    <x v="3"/>
  </r>
  <r>
    <x v="7"/>
    <x v="0"/>
    <x v="8"/>
    <x v="176"/>
    <x v="169"/>
    <n v="187.4"/>
    <n v="42.7"/>
    <n v="28.2"/>
    <n v="104.7"/>
    <n v="29"/>
    <s v="MEDIUM"/>
    <x v="3"/>
  </r>
  <r>
    <x v="7"/>
    <x v="0"/>
    <x v="9"/>
    <x v="177"/>
    <x v="170"/>
    <n v="174.1"/>
    <n v="29.7"/>
    <n v="19.100000000000001"/>
    <n v="41.9"/>
    <n v="26.8"/>
    <s v="LOW"/>
    <x v="0"/>
  </r>
  <r>
    <x v="7"/>
    <x v="0"/>
    <x v="10"/>
    <x v="178"/>
    <x v="171"/>
    <n v="147.30000000000001"/>
    <n v="27.8"/>
    <n v="22.4"/>
    <n v="27.6"/>
    <n v="24"/>
    <s v="LOW"/>
    <x v="0"/>
  </r>
  <r>
    <x v="7"/>
    <x v="0"/>
    <x v="11"/>
    <x v="179"/>
    <x v="172"/>
    <n v="131.6"/>
    <n v="23.1"/>
    <n v="16.5"/>
    <n v="10.7"/>
    <n v="21.7"/>
    <s v="LOW"/>
    <x v="0"/>
  </r>
  <r>
    <x v="7"/>
    <x v="1"/>
    <x v="0"/>
    <x v="180"/>
    <x v="173"/>
    <n v="119.5"/>
    <n v="27.5"/>
    <n v="23.3"/>
    <n v="10.9"/>
    <n v="24.3"/>
    <s v="LOW"/>
    <x v="0"/>
  </r>
  <r>
    <x v="7"/>
    <x v="1"/>
    <x v="1"/>
    <x v="181"/>
    <x v="174"/>
    <n v="126.7"/>
    <n v="27.1"/>
    <n v="24.8"/>
    <n v="7.1"/>
    <n v="25.7"/>
    <s v="LOW"/>
    <x v="0"/>
  </r>
  <r>
    <x v="7"/>
    <x v="1"/>
    <x v="2"/>
    <x v="182"/>
    <x v="175"/>
    <n v="148.30000000000001"/>
    <n v="27"/>
    <n v="19.8"/>
    <n v="10.6"/>
    <n v="28.2"/>
    <s v="LOW"/>
    <x v="1"/>
  </r>
  <r>
    <x v="7"/>
    <x v="1"/>
    <x v="3"/>
    <x v="183"/>
    <x v="176"/>
    <n v="153.9"/>
    <n v="34.299999999999997"/>
    <n v="24"/>
    <n v="32.1"/>
    <n v="35.200000000000003"/>
    <s v="LOW"/>
    <x v="2"/>
  </r>
  <r>
    <x v="7"/>
    <x v="1"/>
    <x v="4"/>
    <x v="184"/>
    <x v="177"/>
    <n v="186.4"/>
    <n v="37.5"/>
    <n v="28.9"/>
    <n v="22.1"/>
    <n v="37.299999999999997"/>
    <s v="MEDIUM"/>
    <x v="2"/>
  </r>
  <r>
    <x v="7"/>
    <x v="1"/>
    <x v="5"/>
    <x v="185"/>
    <x v="178"/>
    <n v="223.9"/>
    <n v="35.1"/>
    <n v="24.6"/>
    <n v="81.900000000000006"/>
    <n v="38.1"/>
    <s v="MEDIUM"/>
    <x v="2"/>
  </r>
  <r>
    <x v="7"/>
    <x v="1"/>
    <x v="6"/>
    <x v="186"/>
    <x v="179"/>
    <n v="238.6"/>
    <n v="48.4"/>
    <n v="28"/>
    <n v="154.4"/>
    <n v="39.5"/>
    <s v="HIGH"/>
    <x v="3"/>
  </r>
  <r>
    <x v="7"/>
    <x v="1"/>
    <x v="7"/>
    <x v="187"/>
    <x v="180"/>
    <n v="210.8"/>
    <n v="49.3"/>
    <n v="34.299999999999997"/>
    <n v="146.9"/>
    <n v="34.799999999999997"/>
    <s v="MEDIUM"/>
    <x v="3"/>
  </r>
  <r>
    <x v="7"/>
    <x v="1"/>
    <x v="8"/>
    <x v="188"/>
    <x v="181"/>
    <n v="196.6"/>
    <n v="40.9"/>
    <n v="25.8"/>
    <n v="98.3"/>
    <n v="31.8"/>
    <s v="MEDIUM"/>
    <x v="3"/>
  </r>
  <r>
    <x v="7"/>
    <x v="1"/>
    <x v="9"/>
    <x v="189"/>
    <x v="182"/>
    <n v="155.30000000000001"/>
    <n v="28.1"/>
    <n v="29.1"/>
    <n v="48.6"/>
    <n v="30.1"/>
    <s v="LOW"/>
    <x v="0"/>
  </r>
  <r>
    <x v="7"/>
    <x v="1"/>
    <x v="10"/>
    <x v="190"/>
    <x v="183"/>
    <n v="141.9"/>
    <n v="24.2"/>
    <n v="21.2"/>
    <n v="2.2000000000000002"/>
    <n v="25.2"/>
    <s v="LOW"/>
    <x v="0"/>
  </r>
  <r>
    <x v="7"/>
    <x v="1"/>
    <x v="11"/>
    <x v="191"/>
    <x v="184"/>
    <n v="129.5"/>
    <n v="28.3"/>
    <n v="16.3"/>
    <n v="2.8"/>
    <n v="19.399999999999999"/>
    <s v="LOW"/>
    <x v="0"/>
  </r>
  <r>
    <x v="8"/>
    <x v="0"/>
    <x v="0"/>
    <x v="192"/>
    <x v="22"/>
    <n v="159.1"/>
    <n v="25.9"/>
    <n v="20.5"/>
    <n v="7.6"/>
    <n v="21.4"/>
    <s v="LOW"/>
    <x v="0"/>
  </r>
  <r>
    <x v="8"/>
    <x v="0"/>
    <x v="1"/>
    <x v="193"/>
    <x v="185"/>
    <n v="168.3"/>
    <n v="33.200000000000003"/>
    <n v="28.4"/>
    <n v="4.7"/>
    <n v="24.3"/>
    <s v="LOW"/>
    <x v="0"/>
  </r>
  <r>
    <x v="8"/>
    <x v="0"/>
    <x v="2"/>
    <x v="194"/>
    <x v="186"/>
    <n v="178.1"/>
    <n v="39"/>
    <n v="24.2"/>
    <n v="0.5"/>
    <n v="26.6"/>
    <s v="LOW"/>
    <x v="1"/>
  </r>
  <r>
    <x v="8"/>
    <x v="0"/>
    <x v="3"/>
    <x v="195"/>
    <x v="187"/>
    <n v="208.6"/>
    <n v="38.299999999999997"/>
    <n v="28.3"/>
    <n v="14.7"/>
    <n v="30.5"/>
    <s v="MEDIUM"/>
    <x v="2"/>
  </r>
  <r>
    <x v="8"/>
    <x v="0"/>
    <x v="4"/>
    <x v="196"/>
    <x v="188"/>
    <n v="233.2"/>
    <n v="41.8"/>
    <n v="36.4"/>
    <n v="24.7"/>
    <n v="35.9"/>
    <s v="HIGH"/>
    <x v="2"/>
  </r>
  <r>
    <x v="8"/>
    <x v="0"/>
    <x v="5"/>
    <x v="197"/>
    <x v="189"/>
    <n v="265.39999999999998"/>
    <n v="43.5"/>
    <n v="36.6"/>
    <n v="81.5"/>
    <n v="35.700000000000003"/>
    <s v="HIGH"/>
    <x v="2"/>
  </r>
  <r>
    <x v="8"/>
    <x v="0"/>
    <x v="6"/>
    <x v="198"/>
    <x v="190"/>
    <n v="288.7"/>
    <n v="45"/>
    <n v="36.200000000000003"/>
    <n v="163.5"/>
    <n v="35.5"/>
    <s v="HIGH"/>
    <x v="3"/>
  </r>
  <r>
    <x v="8"/>
    <x v="0"/>
    <x v="7"/>
    <x v="199"/>
    <x v="191"/>
    <n v="273.10000000000002"/>
    <n v="54.6"/>
    <n v="31.9"/>
    <n v="128.80000000000001"/>
    <n v="31.9"/>
    <s v="HIGH"/>
    <x v="3"/>
  </r>
  <r>
    <x v="8"/>
    <x v="0"/>
    <x v="8"/>
    <x v="200"/>
    <x v="192"/>
    <n v="228.3"/>
    <n v="44.1"/>
    <n v="35.9"/>
    <n v="105.2"/>
    <n v="29.4"/>
    <s v="HIGH"/>
    <x v="3"/>
  </r>
  <r>
    <x v="8"/>
    <x v="0"/>
    <x v="9"/>
    <x v="201"/>
    <x v="130"/>
    <n v="203.5"/>
    <n v="36.299999999999997"/>
    <n v="28.9"/>
    <n v="45"/>
    <n v="28.2"/>
    <s v="MEDIUM"/>
    <x v="0"/>
  </r>
  <r>
    <x v="8"/>
    <x v="0"/>
    <x v="10"/>
    <x v="1"/>
    <x v="193"/>
    <n v="180.8"/>
    <n v="31.2"/>
    <n v="29.1"/>
    <n v="6.4"/>
    <n v="24.5"/>
    <s v="LOW"/>
    <x v="0"/>
  </r>
  <r>
    <x v="8"/>
    <x v="0"/>
    <x v="11"/>
    <x v="202"/>
    <x v="194"/>
    <n v="147.9"/>
    <n v="34.1"/>
    <n v="29.1"/>
    <n v="0"/>
    <n v="21.3"/>
    <s v="LOW"/>
    <x v="0"/>
  </r>
  <r>
    <x v="8"/>
    <x v="1"/>
    <x v="0"/>
    <x v="203"/>
    <x v="195"/>
    <n v="174.5"/>
    <n v="32.4"/>
    <n v="19.600000000000001"/>
    <n v="0"/>
    <n v="23"/>
    <s v="LOW"/>
    <x v="0"/>
  </r>
  <r>
    <x v="8"/>
    <x v="1"/>
    <x v="1"/>
    <x v="204"/>
    <x v="196"/>
    <n v="157.69999999999999"/>
    <n v="35.9"/>
    <n v="31.2"/>
    <n v="6"/>
    <n v="26.9"/>
    <s v="LOW"/>
    <x v="0"/>
  </r>
  <r>
    <x v="8"/>
    <x v="1"/>
    <x v="2"/>
    <x v="205"/>
    <x v="197"/>
    <n v="172.7"/>
    <n v="40.6"/>
    <n v="33.200000000000003"/>
    <n v="22.7"/>
    <n v="26.2"/>
    <s v="LOW"/>
    <x v="1"/>
  </r>
  <r>
    <x v="8"/>
    <x v="1"/>
    <x v="3"/>
    <x v="206"/>
    <x v="198"/>
    <n v="203"/>
    <n v="38.6"/>
    <n v="31.8"/>
    <n v="8.9"/>
    <n v="31.4"/>
    <s v="MEDIUM"/>
    <x v="2"/>
  </r>
  <r>
    <x v="8"/>
    <x v="1"/>
    <x v="4"/>
    <x v="207"/>
    <x v="199"/>
    <n v="230.4"/>
    <n v="39.299999999999997"/>
    <n v="37.1"/>
    <n v="39.5"/>
    <n v="38.200000000000003"/>
    <s v="HIGH"/>
    <x v="2"/>
  </r>
  <r>
    <x v="8"/>
    <x v="1"/>
    <x v="5"/>
    <x v="208"/>
    <x v="134"/>
    <n v="264.5"/>
    <n v="48.4"/>
    <n v="28"/>
    <n v="109.9"/>
    <n v="40.4"/>
    <s v="HIGH"/>
    <x v="2"/>
  </r>
  <r>
    <x v="8"/>
    <x v="1"/>
    <x v="6"/>
    <x v="209"/>
    <x v="200"/>
    <n v="286.89999999999998"/>
    <n v="47"/>
    <n v="33.200000000000003"/>
    <n v="139.1"/>
    <n v="34"/>
    <s v="HIGH"/>
    <x v="3"/>
  </r>
  <r>
    <x v="8"/>
    <x v="1"/>
    <x v="7"/>
    <x v="210"/>
    <x v="201"/>
    <n v="267.2"/>
    <n v="49.3"/>
    <n v="47.2"/>
    <n v="150.19999999999999"/>
    <n v="31.5"/>
    <s v="HIGH"/>
    <x v="3"/>
  </r>
  <r>
    <x v="8"/>
    <x v="1"/>
    <x v="8"/>
    <x v="211"/>
    <x v="202"/>
    <n v="234.2"/>
    <n v="47.9"/>
    <n v="41.5"/>
    <n v="124.9"/>
    <n v="32.1"/>
    <s v="HIGH"/>
    <x v="3"/>
  </r>
  <r>
    <x v="8"/>
    <x v="1"/>
    <x v="9"/>
    <x v="212"/>
    <x v="203"/>
    <n v="181.6"/>
    <n v="46.5"/>
    <n v="32.1"/>
    <n v="62.7"/>
    <n v="27.4"/>
    <s v="MEDIUM"/>
    <x v="0"/>
  </r>
  <r>
    <x v="8"/>
    <x v="1"/>
    <x v="10"/>
    <x v="213"/>
    <x v="204"/>
    <n v="176.8"/>
    <n v="35.1"/>
    <n v="18.600000000000001"/>
    <n v="0.7"/>
    <n v="24.6"/>
    <s v="LOW"/>
    <x v="0"/>
  </r>
  <r>
    <x v="8"/>
    <x v="1"/>
    <x v="11"/>
    <x v="214"/>
    <x v="205"/>
    <n v="157.5"/>
    <n v="33.700000000000003"/>
    <n v="21.9"/>
    <n v="0"/>
    <n v="22.6"/>
    <s v="LOW"/>
    <x v="0"/>
  </r>
  <r>
    <x v="9"/>
    <x v="0"/>
    <x v="0"/>
    <x v="215"/>
    <x v="206"/>
    <n v="135.5"/>
    <n v="31.4"/>
    <n v="22"/>
    <n v="0"/>
    <n v="22.9"/>
    <s v="LOW"/>
    <x v="0"/>
  </r>
  <r>
    <x v="9"/>
    <x v="0"/>
    <x v="1"/>
    <x v="216"/>
    <x v="207"/>
    <n v="151.9"/>
    <n v="29.1"/>
    <n v="20.8"/>
    <n v="17.2"/>
    <n v="26.8"/>
    <s v="LOW"/>
    <x v="0"/>
  </r>
  <r>
    <x v="9"/>
    <x v="0"/>
    <x v="2"/>
    <x v="217"/>
    <x v="208"/>
    <n v="169.8"/>
    <n v="30.5"/>
    <n v="29.1"/>
    <n v="17.100000000000001"/>
    <n v="26.8"/>
    <s v="LOW"/>
    <x v="1"/>
  </r>
  <r>
    <x v="9"/>
    <x v="0"/>
    <x v="3"/>
    <x v="218"/>
    <x v="209"/>
    <n v="177.4"/>
    <n v="41.3"/>
    <n v="22.9"/>
    <n v="0.7"/>
    <n v="33.700000000000003"/>
    <s v="LOW"/>
    <x v="2"/>
  </r>
  <r>
    <x v="9"/>
    <x v="0"/>
    <x v="4"/>
    <x v="219"/>
    <x v="210"/>
    <n v="197.3"/>
    <n v="49.4"/>
    <n v="32.299999999999997"/>
    <n v="38.700000000000003"/>
    <n v="35.700000000000003"/>
    <s v="MEDIUM"/>
    <x v="2"/>
  </r>
  <r>
    <x v="9"/>
    <x v="0"/>
    <x v="5"/>
    <x v="220"/>
    <x v="211"/>
    <n v="234.2"/>
    <n v="56.7"/>
    <n v="34.4"/>
    <n v="89.4"/>
    <n v="38.299999999999997"/>
    <s v="HIGH"/>
    <x v="2"/>
  </r>
  <r>
    <x v="9"/>
    <x v="0"/>
    <x v="6"/>
    <x v="221"/>
    <x v="212"/>
    <n v="266.39999999999998"/>
    <n v="46.7"/>
    <n v="33.1"/>
    <n v="153.9"/>
    <n v="33.1"/>
    <s v="HIGH"/>
    <x v="3"/>
  </r>
  <r>
    <x v="9"/>
    <x v="0"/>
    <x v="7"/>
    <x v="222"/>
    <x v="213"/>
    <n v="250.9"/>
    <n v="48.4"/>
    <n v="31.2"/>
    <n v="143.30000000000001"/>
    <n v="31.9"/>
    <s v="HIGH"/>
    <x v="3"/>
  </r>
  <r>
    <x v="9"/>
    <x v="0"/>
    <x v="8"/>
    <x v="223"/>
    <x v="178"/>
    <n v="222.9"/>
    <n v="36.6"/>
    <n v="24.1"/>
    <n v="105.7"/>
    <n v="31.6"/>
    <s v="MEDIUM"/>
    <x v="3"/>
  </r>
  <r>
    <x v="9"/>
    <x v="0"/>
    <x v="9"/>
    <x v="224"/>
    <x v="214"/>
    <n v="175.1"/>
    <n v="35.9"/>
    <n v="24.6"/>
    <n v="39.1"/>
    <n v="28.5"/>
    <s v="LOW"/>
    <x v="0"/>
  </r>
  <r>
    <x v="9"/>
    <x v="0"/>
    <x v="10"/>
    <x v="225"/>
    <x v="215"/>
    <n v="156.30000000000001"/>
    <n v="25.5"/>
    <n v="28.8"/>
    <n v="24.6"/>
    <n v="22.7"/>
    <s v="LOW"/>
    <x v="0"/>
  </r>
  <r>
    <x v="9"/>
    <x v="0"/>
    <x v="11"/>
    <x v="226"/>
    <x v="216"/>
    <n v="143.69999999999999"/>
    <n v="27.2"/>
    <n v="18.5"/>
    <n v="20.8"/>
    <n v="19.2"/>
    <s v="LOW"/>
    <x v="0"/>
  </r>
  <r>
    <x v="9"/>
    <x v="1"/>
    <x v="0"/>
    <x v="227"/>
    <x v="217"/>
    <n v="136.69999999999999"/>
    <n v="34.1"/>
    <n v="25.1"/>
    <n v="0"/>
    <n v="22.1"/>
    <s v="LOW"/>
    <x v="0"/>
  </r>
  <r>
    <x v="9"/>
    <x v="1"/>
    <x v="1"/>
    <x v="228"/>
    <x v="218"/>
    <n v="147.6"/>
    <n v="32.1"/>
    <n v="20"/>
    <n v="3"/>
    <n v="25.5"/>
    <s v="LOW"/>
    <x v="0"/>
  </r>
  <r>
    <x v="9"/>
    <x v="1"/>
    <x v="2"/>
    <x v="229"/>
    <x v="14"/>
    <n v="155.5"/>
    <n v="33.299999999999997"/>
    <n v="30.4"/>
    <n v="23.2"/>
    <n v="27.9"/>
    <s v="LOW"/>
    <x v="1"/>
  </r>
  <r>
    <x v="9"/>
    <x v="1"/>
    <x v="3"/>
    <x v="230"/>
    <x v="219"/>
    <n v="185.6"/>
    <n v="31.6"/>
    <n v="29.2"/>
    <n v="14.9"/>
    <n v="33.1"/>
    <s v="LOW"/>
    <x v="2"/>
  </r>
  <r>
    <x v="9"/>
    <x v="1"/>
    <x v="4"/>
    <x v="231"/>
    <x v="220"/>
    <n v="204.7"/>
    <n v="38.200000000000003"/>
    <n v="29.2"/>
    <n v="33.9"/>
    <n v="36.200000000000003"/>
    <s v="MEDIUM"/>
    <x v="2"/>
  </r>
  <r>
    <x v="9"/>
    <x v="1"/>
    <x v="5"/>
    <x v="232"/>
    <x v="221"/>
    <n v="258"/>
    <n v="41.3"/>
    <n v="31.5"/>
    <n v="107.4"/>
    <n v="38.200000000000003"/>
    <s v="HIGH"/>
    <x v="2"/>
  </r>
  <r>
    <x v="9"/>
    <x v="1"/>
    <x v="6"/>
    <x v="233"/>
    <x v="112"/>
    <n v="273.39999999999998"/>
    <n v="43.4"/>
    <n v="32.700000000000003"/>
    <n v="167.8"/>
    <n v="34.9"/>
    <s v="HIGH"/>
    <x v="3"/>
  </r>
  <r>
    <x v="9"/>
    <x v="1"/>
    <x v="7"/>
    <x v="234"/>
    <x v="222"/>
    <n v="250.8"/>
    <n v="38.6"/>
    <n v="29.3"/>
    <n v="148"/>
    <n v="33.6"/>
    <s v="HIGH"/>
    <x v="3"/>
  </r>
  <r>
    <x v="9"/>
    <x v="1"/>
    <x v="8"/>
    <x v="235"/>
    <x v="223"/>
    <n v="208.6"/>
    <n v="43.1"/>
    <n v="39.9"/>
    <n v="109.6"/>
    <n v="32.4"/>
    <s v="MEDIUM"/>
    <x v="3"/>
  </r>
  <r>
    <x v="9"/>
    <x v="1"/>
    <x v="9"/>
    <x v="236"/>
    <x v="224"/>
    <n v="182.2"/>
    <n v="31.8"/>
    <n v="31"/>
    <n v="40.1"/>
    <n v="29.8"/>
    <s v="LOW"/>
    <x v="0"/>
  </r>
  <r>
    <x v="9"/>
    <x v="1"/>
    <x v="10"/>
    <x v="237"/>
    <x v="225"/>
    <n v="156.4"/>
    <n v="39.5"/>
    <n v="26.9"/>
    <n v="2.4"/>
    <n v="25.4"/>
    <s v="LOW"/>
    <x v="0"/>
  </r>
  <r>
    <x v="9"/>
    <x v="1"/>
    <x v="11"/>
    <x v="238"/>
    <x v="226"/>
    <n v="132.30000000000001"/>
    <n v="24.2"/>
    <n v="23.3"/>
    <n v="3.2"/>
    <n v="19.8"/>
    <s v="LOW"/>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8EFB2E-56DB-4578-A035-56CC38501255}" name="PivotTable6"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104:B114" firstHeaderRow="1" firstDataRow="1" firstDataCol="1"/>
  <pivotFields count="12">
    <pivotField axis="axisRow" showAll="0">
      <items count="11">
        <item x="0"/>
        <item x="1"/>
        <item x="2"/>
        <item x="3"/>
        <item x="4"/>
        <item x="5"/>
        <item x="6"/>
        <item x="7"/>
        <item x="8"/>
        <item x="9"/>
        <item t="default"/>
      </items>
    </pivotField>
    <pivotField showAll="0"/>
    <pivotField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 showAll="0"/>
    <pivotField showAll="0"/>
    <pivotField showAll="0"/>
  </pivotFields>
  <rowFields count="1">
    <field x="0"/>
  </rowFields>
  <rowItems count="10">
    <i>
      <x/>
    </i>
    <i>
      <x v="1"/>
    </i>
    <i>
      <x v="2"/>
    </i>
    <i>
      <x v="3"/>
    </i>
    <i>
      <x v="4"/>
    </i>
    <i>
      <x v="5"/>
    </i>
    <i>
      <x v="6"/>
    </i>
    <i>
      <x v="7"/>
    </i>
    <i>
      <x v="8"/>
    </i>
    <i>
      <x v="9"/>
    </i>
  </rowItems>
  <colItems count="1">
    <i/>
  </colItems>
  <dataFields count="1">
    <dataField name="Sum of population" fld="3" baseField="0" baseItem="0"/>
  </dataFields>
  <formats count="5">
    <format dxfId="4147">
      <pivotArea type="all" dataOnly="0" outline="0" fieldPosition="0"/>
    </format>
    <format dxfId="4146">
      <pivotArea outline="0" collapsedLevelsAreSubtotals="1" fieldPosition="0"/>
    </format>
    <format dxfId="4145">
      <pivotArea field="0" type="button" dataOnly="0" labelOnly="1" outline="0" axis="axisRow" fieldPosition="0"/>
    </format>
    <format dxfId="4144">
      <pivotArea dataOnly="0" labelOnly="1" fieldPosition="0">
        <references count="1">
          <reference field="0" count="0"/>
        </references>
      </pivotArea>
    </format>
    <format dxfId="4143">
      <pivotArea dataOnly="0" labelOnly="1" outline="0" axis="axisValues" fieldPosition="0"/>
    </format>
  </formats>
  <chartFormats count="4">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DD9F1C-38F2-49EE-A1BC-D6D64ED92EC4}" name="PivotTable5"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88:B98" firstHeaderRow="1" firstDataRow="1" firstDataCol="1"/>
  <pivotFields count="12">
    <pivotField axis="axisRow" showAll="0">
      <items count="11">
        <item x="0"/>
        <item x="1"/>
        <item x="2"/>
        <item x="3"/>
        <item x="4"/>
        <item x="5"/>
        <item x="6"/>
        <item x="7"/>
        <item x="8"/>
        <item x="9"/>
        <item t="default"/>
      </items>
    </pivotField>
    <pivotField showAll="0"/>
    <pivotField showAll="0">
      <items count="13">
        <item x="0"/>
        <item x="1"/>
        <item x="2"/>
        <item x="3"/>
        <item x="4"/>
        <item x="5"/>
        <item x="6"/>
        <item x="7"/>
        <item x="8"/>
        <item x="9"/>
        <item x="10"/>
        <item x="11"/>
        <item t="default"/>
      </items>
    </pivotField>
    <pivotField showAll="0"/>
    <pivotField dataField="1" showAll="0">
      <items count="228">
        <item x="81"/>
        <item x="70"/>
        <item x="160"/>
        <item x="82"/>
        <item x="173"/>
        <item x="172"/>
        <item x="80"/>
        <item x="149"/>
        <item x="184"/>
        <item x="92"/>
        <item x="0"/>
        <item x="140"/>
        <item x="174"/>
        <item x="69"/>
        <item x="148"/>
        <item x="226"/>
        <item x="139"/>
        <item x="12"/>
        <item x="1"/>
        <item x="11"/>
        <item x="161"/>
        <item x="23"/>
        <item x="183"/>
        <item x="141"/>
        <item x="162"/>
        <item x="206"/>
        <item x="216"/>
        <item x="147"/>
        <item x="150"/>
        <item x="138"/>
        <item x="13"/>
        <item x="79"/>
        <item x="163"/>
        <item x="71"/>
        <item x="83"/>
        <item x="175"/>
        <item x="217"/>
        <item x="127"/>
        <item x="91"/>
        <item x="171"/>
        <item x="10"/>
        <item x="218"/>
        <item x="159"/>
        <item x="207"/>
        <item x="151"/>
        <item x="22"/>
        <item x="117"/>
        <item x="128"/>
        <item x="84"/>
        <item x="215"/>
        <item x="194"/>
        <item x="176"/>
        <item x="182"/>
        <item x="205"/>
        <item x="2"/>
        <item x="158"/>
        <item x="126"/>
        <item x="146"/>
        <item x="116"/>
        <item x="78"/>
        <item x="47"/>
        <item x="90"/>
        <item x="14"/>
        <item x="59"/>
        <item x="46"/>
        <item x="9"/>
        <item x="68"/>
        <item x="225"/>
        <item x="170"/>
        <item x="72"/>
        <item x="196"/>
        <item x="57"/>
        <item x="195"/>
        <item x="3"/>
        <item x="129"/>
        <item x="164"/>
        <item x="208"/>
        <item x="104"/>
        <item x="185"/>
        <item x="152"/>
        <item x="204"/>
        <item x="58"/>
        <item x="73"/>
        <item x="115"/>
        <item x="137"/>
        <item x="118"/>
        <item x="105"/>
        <item x="21"/>
        <item x="214"/>
        <item x="93"/>
        <item x="103"/>
        <item x="142"/>
        <item x="193"/>
        <item x="186"/>
        <item x="209"/>
        <item x="15"/>
        <item x="224"/>
        <item x="24"/>
        <item x="35"/>
        <item x="219"/>
        <item x="197"/>
        <item x="67"/>
        <item x="45"/>
        <item x="85"/>
        <item x="114"/>
        <item x="77"/>
        <item x="145"/>
        <item x="36"/>
        <item x="56"/>
        <item x="165"/>
        <item x="153"/>
        <item x="177"/>
        <item x="25"/>
        <item x="16"/>
        <item x="89"/>
        <item x="169"/>
        <item x="157"/>
        <item x="136"/>
        <item x="102"/>
        <item x="203"/>
        <item x="94"/>
        <item x="48"/>
        <item x="181"/>
        <item x="106"/>
        <item x="119"/>
        <item x="37"/>
        <item x="60"/>
        <item x="34"/>
        <item x="4"/>
        <item x="125"/>
        <item x="130"/>
        <item x="220"/>
        <item x="26"/>
        <item x="198"/>
        <item x="49"/>
        <item x="66"/>
        <item x="187"/>
        <item x="86"/>
        <item x="210"/>
        <item x="131"/>
        <item x="76"/>
        <item x="101"/>
        <item x="8"/>
        <item x="20"/>
        <item x="178"/>
        <item x="95"/>
        <item x="74"/>
        <item x="88"/>
        <item x="154"/>
        <item x="113"/>
        <item x="107"/>
        <item x="55"/>
        <item x="75"/>
        <item x="156"/>
        <item x="223"/>
        <item x="33"/>
        <item x="120"/>
        <item x="180"/>
        <item x="144"/>
        <item x="5"/>
        <item x="124"/>
        <item x="27"/>
        <item x="44"/>
        <item x="166"/>
        <item x="135"/>
        <item x="19"/>
        <item x="87"/>
        <item x="199"/>
        <item x="7"/>
        <item x="143"/>
        <item x="192"/>
        <item x="38"/>
        <item x="167"/>
        <item x="188"/>
        <item x="17"/>
        <item x="155"/>
        <item x="168"/>
        <item x="61"/>
        <item x="179"/>
        <item x="108"/>
        <item x="222"/>
        <item x="50"/>
        <item x="202"/>
        <item x="18"/>
        <item x="211"/>
        <item x="96"/>
        <item x="213"/>
        <item x="221"/>
        <item x="54"/>
        <item x="6"/>
        <item x="65"/>
        <item x="28"/>
        <item x="132"/>
        <item x="134"/>
        <item x="100"/>
        <item x="189"/>
        <item x="212"/>
        <item x="32"/>
        <item x="39"/>
        <item x="121"/>
        <item x="112"/>
        <item x="123"/>
        <item x="191"/>
        <item x="201"/>
        <item x="53"/>
        <item x="200"/>
        <item x="133"/>
        <item x="43"/>
        <item x="122"/>
        <item x="190"/>
        <item x="109"/>
        <item x="62"/>
        <item x="64"/>
        <item x="51"/>
        <item x="99"/>
        <item x="63"/>
        <item x="97"/>
        <item x="110"/>
        <item x="98"/>
        <item x="52"/>
        <item x="29"/>
        <item x="40"/>
        <item x="111"/>
        <item x="42"/>
        <item x="31"/>
        <item x="41"/>
        <item x="30"/>
        <item t="default"/>
      </items>
    </pivotField>
    <pivotField showAll="0"/>
    <pivotField showAll="0"/>
    <pivotField showAll="0"/>
    <pivotField showAll="0"/>
    <pivotField showAll="0"/>
    <pivotField showAll="0"/>
    <pivotField showAll="0"/>
  </pivotFields>
  <rowFields count="1">
    <field x="0"/>
  </rowFields>
  <rowItems count="10">
    <i>
      <x/>
    </i>
    <i>
      <x v="1"/>
    </i>
    <i>
      <x v="2"/>
    </i>
    <i>
      <x v="3"/>
    </i>
    <i>
      <x v="4"/>
    </i>
    <i>
      <x v="5"/>
    </i>
    <i>
      <x v="6"/>
    </i>
    <i>
      <x v="7"/>
    </i>
    <i>
      <x v="8"/>
    </i>
    <i>
      <x v="9"/>
    </i>
  </rowItems>
  <colItems count="1">
    <i/>
  </colItems>
  <dataFields count="1">
    <dataField name="Sum of avg_daily_usage_L" fld="4" baseField="0" baseItem="0"/>
  </dataFields>
  <formats count="4">
    <format dxfId="4148">
      <pivotArea collapsedLevelsAreSubtotals="1" fieldPosition="0">
        <references count="1">
          <reference field="0" count="0"/>
        </references>
      </pivotArea>
    </format>
    <format dxfId="4149">
      <pivotArea field="0" type="button" dataOnly="0" labelOnly="1" outline="0" axis="axisRow" fieldPosition="0"/>
    </format>
    <format dxfId="4150">
      <pivotArea dataOnly="0" labelOnly="1" fieldPosition="0">
        <references count="1">
          <reference field="0" count="0"/>
        </references>
      </pivotArea>
    </format>
    <format dxfId="415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0FE380-0FBE-4F6D-8932-3EC857046C92}"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3:D64" firstHeaderRow="0" firstDataRow="1" firstDataCol="1"/>
  <pivotFields count="12">
    <pivotField axis="axisRow" showAll="0">
      <items count="11">
        <item x="0"/>
        <item x="1"/>
        <item x="2"/>
        <item x="3"/>
        <item x="4"/>
        <item x="5"/>
        <item x="6"/>
        <item x="7"/>
        <item x="8"/>
        <item x="9"/>
        <item t="default"/>
      </items>
    </pivotField>
    <pivotField showAll="0"/>
    <pivotField showAll="0">
      <items count="13">
        <item x="0"/>
        <item x="1"/>
        <item x="2"/>
        <item x="3"/>
        <item x="4"/>
        <item x="5"/>
        <item x="6"/>
        <item x="7"/>
        <item x="8"/>
        <item x="9"/>
        <item x="10"/>
        <item x="11"/>
        <item t="default"/>
      </items>
    </pivotField>
    <pivotField showAll="0"/>
    <pivotField showAll="0"/>
    <pivotField dataField="1" showAll="0"/>
    <pivotField dataField="1" showAll="0"/>
    <pivotField dataField="1" showAll="0"/>
    <pivotField showAll="0"/>
    <pivotField showAll="0"/>
    <pivotField showAll="0"/>
    <pivotField showAl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residential_L" fld="5" baseField="0" baseItem="0"/>
    <dataField name="Sum of commercial_L" fld="6" baseField="0" baseItem="0"/>
    <dataField name="Sum of industrial_L" fld="7" baseField="0" baseItem="0"/>
  </dataFields>
  <formats count="6">
    <format dxfId="4157">
      <pivotArea type="all" dataOnly="0" outline="0" fieldPosition="0"/>
    </format>
    <format dxfId="4156">
      <pivotArea outline="0" collapsedLevelsAreSubtotals="1" fieldPosition="0"/>
    </format>
    <format dxfId="4155">
      <pivotArea field="0" type="button" dataOnly="0" labelOnly="1" outline="0" axis="axisRow" fieldPosition="0"/>
    </format>
    <format dxfId="4154">
      <pivotArea dataOnly="0" labelOnly="1" fieldPosition="0">
        <references count="1">
          <reference field="0" count="0"/>
        </references>
      </pivotArea>
    </format>
    <format dxfId="4153">
      <pivotArea dataOnly="0" labelOnly="1" grandRow="1" outline="0" fieldPosition="0"/>
    </format>
    <format dxfId="4152">
      <pivotArea dataOnly="0" labelOnly="1" outline="0" fieldPosition="0">
        <references count="1">
          <reference field="4294967294" count="3">
            <x v="0"/>
            <x v="1"/>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174049-841F-4712-8CB5-DB9CA86F585A}" name="PivotTable2"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49" firstHeaderRow="1" firstDataRow="1" firstDataCol="1"/>
  <pivotFields count="12">
    <pivotField axis="axisRow" showAll="0">
      <items count="11">
        <item x="0"/>
        <item x="1"/>
        <item x="2"/>
        <item x="3"/>
        <item x="4"/>
        <item x="5"/>
        <item x="6"/>
        <item x="7"/>
        <item x="8"/>
        <item x="9"/>
        <item t="default"/>
      </items>
    </pivotField>
    <pivotField axis="axisRow" showAll="0">
      <items count="3">
        <item x="0"/>
        <item x="1"/>
        <item t="default"/>
      </items>
    </pivotField>
    <pivotField axis="axisRow" showAll="0">
      <items count="13">
        <item x="0"/>
        <item sd="0" x="1"/>
        <item sd="0" x="2"/>
        <item sd="0" x="3"/>
        <item sd="0" x="4"/>
        <item sd="0" x="5"/>
        <item sd="0" x="6"/>
        <item sd="0" x="7"/>
        <item sd="0" x="8"/>
        <item sd="0" x="9"/>
        <item sd="0" x="10"/>
        <item sd="0" x="11"/>
        <item t="default"/>
      </items>
    </pivotField>
    <pivotField showAll="0">
      <items count="240">
        <item x="46"/>
        <item x="155"/>
        <item x="163"/>
        <item x="184"/>
        <item x="107"/>
        <item x="193"/>
        <item x="177"/>
        <item x="16"/>
        <item x="204"/>
        <item x="24"/>
        <item x="26"/>
        <item x="95"/>
        <item x="133"/>
        <item x="36"/>
        <item x="191"/>
        <item x="196"/>
        <item x="130"/>
        <item x="77"/>
        <item x="148"/>
        <item x="126"/>
        <item x="88"/>
        <item x="205"/>
        <item x="122"/>
        <item x="61"/>
        <item x="183"/>
        <item x="169"/>
        <item x="96"/>
        <item x="116"/>
        <item x="106"/>
        <item x="200"/>
        <item x="9"/>
        <item x="230"/>
        <item x="82"/>
        <item x="197"/>
        <item x="69"/>
        <item x="189"/>
        <item x="54"/>
        <item x="76"/>
        <item x="217"/>
        <item x="134"/>
        <item x="40"/>
        <item x="124"/>
        <item x="159"/>
        <item x="236"/>
        <item x="42"/>
        <item x="135"/>
        <item x="113"/>
        <item x="168"/>
        <item x="229"/>
        <item x="71"/>
        <item x="60"/>
        <item x="120"/>
        <item x="85"/>
        <item x="38"/>
        <item x="161"/>
        <item x="59"/>
        <item x="94"/>
        <item x="164"/>
        <item x="186"/>
        <item x="52"/>
        <item x="28"/>
        <item x="118"/>
        <item x="87"/>
        <item x="97"/>
        <item x="142"/>
        <item x="34"/>
        <item x="190"/>
        <item x="128"/>
        <item x="44"/>
        <item x="105"/>
        <item x="31"/>
        <item x="90"/>
        <item x="45"/>
        <item x="121"/>
        <item x="12"/>
        <item x="231"/>
        <item x="108"/>
        <item x="2"/>
        <item x="3"/>
        <item x="182"/>
        <item x="131"/>
        <item x="206"/>
        <item x="201"/>
        <item x="32"/>
        <item x="58"/>
        <item x="143"/>
        <item x="115"/>
        <item x="173"/>
        <item x="234"/>
        <item x="92"/>
        <item x="144"/>
        <item x="194"/>
        <item x="150"/>
        <item x="210"/>
        <item x="5"/>
        <item x="55"/>
        <item x="162"/>
        <item x="151"/>
        <item x="27"/>
        <item x="132"/>
        <item x="53"/>
        <item x="73"/>
        <item x="1"/>
        <item x="147"/>
        <item x="50"/>
        <item x="47"/>
        <item x="146"/>
        <item x="84"/>
        <item x="15"/>
        <item x="111"/>
        <item x="154"/>
        <item x="37"/>
        <item x="165"/>
        <item x="65"/>
        <item x="174"/>
        <item x="66"/>
        <item x="101"/>
        <item x="211"/>
        <item x="29"/>
        <item x="152"/>
        <item x="81"/>
        <item x="233"/>
        <item x="226"/>
        <item x="0"/>
        <item x="14"/>
        <item x="33"/>
        <item x="17"/>
        <item x="62"/>
        <item x="170"/>
        <item x="51"/>
        <item x="78"/>
        <item x="30"/>
        <item x="91"/>
        <item x="228"/>
        <item x="213"/>
        <item x="18"/>
        <item x="39"/>
        <item x="64"/>
        <item x="140"/>
        <item x="127"/>
        <item x="176"/>
        <item x="166"/>
        <item x="224"/>
        <item x="209"/>
        <item x="187"/>
        <item x="139"/>
        <item x="232"/>
        <item x="68"/>
        <item x="13"/>
        <item x="199"/>
        <item x="43"/>
        <item x="157"/>
        <item x="208"/>
        <item x="188"/>
        <item x="89"/>
        <item x="221"/>
        <item x="179"/>
        <item x="109"/>
        <item x="74"/>
        <item x="49"/>
        <item x="178"/>
        <item x="70"/>
        <item x="215"/>
        <item x="185"/>
        <item x="203"/>
        <item x="110"/>
        <item x="153"/>
        <item x="156"/>
        <item x="220"/>
        <item x="117"/>
        <item x="138"/>
        <item x="112"/>
        <item x="160"/>
        <item x="10"/>
        <item x="93"/>
        <item x="99"/>
        <item x="86"/>
        <item x="119"/>
        <item x="7"/>
        <item x="195"/>
        <item x="180"/>
        <item x="136"/>
        <item x="223"/>
        <item x="145"/>
        <item x="25"/>
        <item x="227"/>
        <item x="218"/>
        <item x="219"/>
        <item x="235"/>
        <item x="57"/>
        <item x="6"/>
        <item x="8"/>
        <item x="102"/>
        <item x="75"/>
        <item x="237"/>
        <item x="22"/>
        <item x="125"/>
        <item x="225"/>
        <item x="214"/>
        <item x="100"/>
        <item x="181"/>
        <item x="192"/>
        <item x="72"/>
        <item x="172"/>
        <item x="41"/>
        <item x="48"/>
        <item x="222"/>
        <item x="23"/>
        <item x="79"/>
        <item x="19"/>
        <item x="123"/>
        <item x="202"/>
        <item x="56"/>
        <item x="4"/>
        <item x="20"/>
        <item x="104"/>
        <item x="171"/>
        <item x="141"/>
        <item x="21"/>
        <item x="80"/>
        <item x="114"/>
        <item x="63"/>
        <item x="103"/>
        <item x="207"/>
        <item x="167"/>
        <item x="137"/>
        <item x="11"/>
        <item x="129"/>
        <item x="149"/>
        <item x="212"/>
        <item x="83"/>
        <item x="35"/>
        <item x="98"/>
        <item x="238"/>
        <item x="198"/>
        <item x="216"/>
        <item x="175"/>
        <item x="67"/>
        <item x="158"/>
        <item t="default"/>
      </items>
    </pivotField>
    <pivotField dataField="1" showAll="0">
      <items count="228">
        <item x="81"/>
        <item h="1" x="70"/>
        <item h="1" x="160"/>
        <item h="1" x="82"/>
        <item h="1" x="173"/>
        <item h="1" x="172"/>
        <item h="1" x="80"/>
        <item h="1" x="149"/>
        <item h="1" x="184"/>
        <item h="1" x="92"/>
        <item h="1" x="0"/>
        <item h="1" x="140"/>
        <item h="1" x="174"/>
        <item h="1" x="69"/>
        <item h="1" x="148"/>
        <item h="1" x="226"/>
        <item h="1" x="139"/>
        <item h="1" x="12"/>
        <item h="1" x="1"/>
        <item h="1" x="11"/>
        <item h="1" x="161"/>
        <item h="1" x="23"/>
        <item h="1" x="183"/>
        <item h="1" x="141"/>
        <item h="1" x="162"/>
        <item h="1" x="206"/>
        <item h="1" x="216"/>
        <item h="1" x="147"/>
        <item h="1" x="150"/>
        <item h="1" x="138"/>
        <item h="1" x="13"/>
        <item h="1" x="79"/>
        <item h="1" x="163"/>
        <item h="1" x="71"/>
        <item h="1" x="83"/>
        <item h="1" x="175"/>
        <item h="1" x="217"/>
        <item h="1" x="127"/>
        <item h="1" x="91"/>
        <item h="1" x="171"/>
        <item h="1" x="10"/>
        <item h="1" x="218"/>
        <item h="1" x="159"/>
        <item h="1" x="207"/>
        <item h="1" x="151"/>
        <item h="1" x="22"/>
        <item h="1" x="117"/>
        <item h="1" x="128"/>
        <item h="1" x="84"/>
        <item h="1" x="215"/>
        <item h="1" x="194"/>
        <item h="1" x="176"/>
        <item h="1" x="182"/>
        <item h="1" x="205"/>
        <item h="1" x="2"/>
        <item h="1" x="158"/>
        <item h="1" x="126"/>
        <item h="1" x="146"/>
        <item h="1" x="116"/>
        <item h="1" x="78"/>
        <item h="1" x="47"/>
        <item h="1" x="90"/>
        <item h="1" x="14"/>
        <item h="1" x="59"/>
        <item h="1" x="46"/>
        <item h="1" x="9"/>
        <item h="1" x="68"/>
        <item h="1" x="225"/>
        <item h="1" x="170"/>
        <item h="1" x="72"/>
        <item h="1" x="196"/>
        <item h="1" x="57"/>
        <item h="1" x="195"/>
        <item h="1" x="3"/>
        <item h="1" x="129"/>
        <item h="1" x="164"/>
        <item h="1" x="208"/>
        <item h="1" x="104"/>
        <item h="1" x="185"/>
        <item h="1" x="152"/>
        <item h="1" x="204"/>
        <item h="1" x="58"/>
        <item h="1" x="73"/>
        <item h="1" x="115"/>
        <item h="1" x="137"/>
        <item h="1" x="118"/>
        <item h="1" x="105"/>
        <item h="1" x="21"/>
        <item h="1" x="214"/>
        <item h="1" x="93"/>
        <item h="1" x="103"/>
        <item h="1" x="142"/>
        <item h="1" x="193"/>
        <item h="1" x="186"/>
        <item h="1" x="209"/>
        <item h="1" x="15"/>
        <item h="1" x="224"/>
        <item h="1" x="24"/>
        <item h="1" x="35"/>
        <item h="1" x="219"/>
        <item h="1" x="197"/>
        <item h="1" x="67"/>
        <item h="1" x="45"/>
        <item h="1" x="85"/>
        <item h="1" x="114"/>
        <item h="1" x="77"/>
        <item h="1" x="145"/>
        <item h="1" x="36"/>
        <item h="1" x="56"/>
        <item h="1" x="165"/>
        <item h="1" x="153"/>
        <item h="1" x="177"/>
        <item h="1" x="25"/>
        <item h="1" x="16"/>
        <item h="1" x="89"/>
        <item h="1" x="169"/>
        <item h="1" x="157"/>
        <item h="1" x="136"/>
        <item h="1" x="102"/>
        <item h="1" x="203"/>
        <item h="1" x="94"/>
        <item h="1" x="48"/>
        <item h="1" x="181"/>
        <item h="1" x="106"/>
        <item h="1" x="119"/>
        <item h="1" x="37"/>
        <item h="1" x="60"/>
        <item h="1" x="34"/>
        <item h="1" x="4"/>
        <item h="1" x="125"/>
        <item h="1" x="130"/>
        <item h="1" x="220"/>
        <item h="1" x="26"/>
        <item h="1" x="198"/>
        <item h="1" x="49"/>
        <item h="1" x="66"/>
        <item h="1" x="187"/>
        <item h="1" x="86"/>
        <item h="1" x="210"/>
        <item h="1" x="131"/>
        <item h="1" x="76"/>
        <item h="1" x="101"/>
        <item h="1" x="8"/>
        <item h="1" x="20"/>
        <item h="1" x="178"/>
        <item h="1" x="95"/>
        <item h="1" x="74"/>
        <item h="1" x="88"/>
        <item h="1" x="154"/>
        <item h="1" x="113"/>
        <item h="1" x="107"/>
        <item h="1" x="55"/>
        <item h="1" x="75"/>
        <item h="1" x="156"/>
        <item h="1" x="223"/>
        <item h="1" x="33"/>
        <item h="1" x="120"/>
        <item h="1" x="180"/>
        <item h="1" x="144"/>
        <item h="1" x="5"/>
        <item h="1" x="124"/>
        <item h="1" x="27"/>
        <item h="1" x="44"/>
        <item h="1" x="166"/>
        <item h="1" x="135"/>
        <item h="1" x="19"/>
        <item h="1" x="87"/>
        <item h="1" x="199"/>
        <item h="1" x="7"/>
        <item h="1" x="143"/>
        <item h="1" x="192"/>
        <item h="1" x="38"/>
        <item h="1" x="167"/>
        <item h="1" x="188"/>
        <item h="1" x="17"/>
        <item h="1" x="155"/>
        <item h="1" x="168"/>
        <item h="1" x="61"/>
        <item h="1" x="179"/>
        <item h="1" x="108"/>
        <item h="1" x="222"/>
        <item h="1" x="50"/>
        <item h="1" x="202"/>
        <item h="1" x="18"/>
        <item h="1" x="211"/>
        <item h="1" x="96"/>
        <item h="1" x="213"/>
        <item h="1" x="221"/>
        <item h="1" x="54"/>
        <item h="1" x="6"/>
        <item h="1" x="65"/>
        <item h="1" x="28"/>
        <item h="1" x="132"/>
        <item h="1" x="134"/>
        <item h="1" x="100"/>
        <item h="1" x="189"/>
        <item h="1" x="212"/>
        <item h="1" x="32"/>
        <item h="1" x="39"/>
        <item h="1" x="121"/>
        <item h="1" x="112"/>
        <item h="1" x="123"/>
        <item h="1" x="191"/>
        <item h="1" x="201"/>
        <item h="1" x="53"/>
        <item h="1" x="200"/>
        <item h="1" x="133"/>
        <item h="1" x="43"/>
        <item h="1" x="122"/>
        <item h="1" x="190"/>
        <item h="1" x="109"/>
        <item h="1" x="62"/>
        <item h="1" x="64"/>
        <item h="1" x="51"/>
        <item h="1" x="99"/>
        <item h="1" x="63"/>
        <item h="1" x="97"/>
        <item h="1" x="110"/>
        <item h="1" x="98"/>
        <item h="1" x="52"/>
        <item h="1" x="29"/>
        <item h="1" x="40"/>
        <item h="1" x="111"/>
        <item h="1" x="42"/>
        <item h="1" x="31"/>
        <item h="1" x="41"/>
        <item h="1" x="30"/>
        <item t="default"/>
      </items>
    </pivotField>
    <pivotField showAll="0"/>
    <pivotField showAll="0"/>
    <pivotField showAll="0"/>
    <pivotField showAll="0"/>
    <pivotField showAll="0"/>
    <pivotField showAll="0"/>
    <pivotField showAll="0">
      <items count="5">
        <item x="3"/>
        <item x="1"/>
        <item x="2"/>
        <item x="0"/>
        <item t="default"/>
      </items>
    </pivotField>
  </pivotFields>
  <rowFields count="3">
    <field x="1"/>
    <field x="2"/>
    <field x="0"/>
  </rowFields>
  <rowItems count="46">
    <i>
      <x/>
    </i>
    <i r="1">
      <x/>
    </i>
    <i r="2">
      <x/>
    </i>
    <i r="2">
      <x v="1"/>
    </i>
    <i r="2">
      <x v="2"/>
    </i>
    <i r="2">
      <x v="3"/>
    </i>
    <i r="2">
      <x v="4"/>
    </i>
    <i r="2">
      <x v="5"/>
    </i>
    <i r="2">
      <x v="6"/>
    </i>
    <i r="2">
      <x v="7"/>
    </i>
    <i r="2">
      <x v="8"/>
    </i>
    <i r="2">
      <x v="9"/>
    </i>
    <i r="1">
      <x v="1"/>
    </i>
    <i r="1">
      <x v="2"/>
    </i>
    <i r="1">
      <x v="3"/>
    </i>
    <i r="1">
      <x v="4"/>
    </i>
    <i r="1">
      <x v="5"/>
    </i>
    <i r="1">
      <x v="6"/>
    </i>
    <i r="1">
      <x v="7"/>
    </i>
    <i r="1">
      <x v="8"/>
    </i>
    <i r="1">
      <x v="9"/>
    </i>
    <i r="1">
      <x v="10"/>
    </i>
    <i r="1">
      <x v="11"/>
    </i>
    <i>
      <x v="1"/>
    </i>
    <i r="1">
      <x/>
    </i>
    <i r="2">
      <x/>
    </i>
    <i r="2">
      <x v="1"/>
    </i>
    <i r="2">
      <x v="2"/>
    </i>
    <i r="2">
      <x v="3"/>
    </i>
    <i r="2">
      <x v="4"/>
    </i>
    <i r="2">
      <x v="5"/>
    </i>
    <i r="2">
      <x v="6"/>
    </i>
    <i r="2">
      <x v="7"/>
    </i>
    <i r="2">
      <x v="8"/>
    </i>
    <i r="2">
      <x v="9"/>
    </i>
    <i r="1">
      <x v="1"/>
    </i>
    <i r="1">
      <x v="2"/>
    </i>
    <i r="1">
      <x v="3"/>
    </i>
    <i r="1">
      <x v="4"/>
    </i>
    <i r="1">
      <x v="5"/>
    </i>
    <i r="1">
      <x v="6"/>
    </i>
    <i r="1">
      <x v="7"/>
    </i>
    <i r="1">
      <x v="8"/>
    </i>
    <i r="1">
      <x v="9"/>
    </i>
    <i r="1">
      <x v="10"/>
    </i>
    <i r="1">
      <x v="11"/>
    </i>
  </rowItems>
  <colItems count="1">
    <i/>
  </colItems>
  <dataFields count="1">
    <dataField name="Sum of avg_daily_usage_L" fld="4" baseField="0" baseItem="0"/>
  </dataFields>
  <formats count="145">
    <format dxfId="4302">
      <pivotArea type="all" dataOnly="0" outline="0" fieldPosition="0"/>
    </format>
    <format dxfId="4301">
      <pivotArea outline="0" collapsedLevelsAreSubtotals="1" fieldPosition="0"/>
    </format>
    <format dxfId="4300">
      <pivotArea field="1" type="button" dataOnly="0" labelOnly="1" outline="0" axis="axisRow" fieldPosition="0"/>
    </format>
    <format dxfId="4299">
      <pivotArea dataOnly="0" labelOnly="1" fieldPosition="0">
        <references count="1">
          <reference field="1" count="0"/>
        </references>
      </pivotArea>
    </format>
    <format dxfId="4298">
      <pivotArea dataOnly="0" labelOnly="1" fieldPosition="0">
        <references count="2">
          <reference field="1" count="1" selected="0">
            <x v="0"/>
          </reference>
          <reference field="2" count="0"/>
        </references>
      </pivotArea>
    </format>
    <format dxfId="4297">
      <pivotArea dataOnly="0" labelOnly="1" fieldPosition="0">
        <references count="2">
          <reference field="1" count="1" selected="0">
            <x v="1"/>
          </reference>
          <reference field="2" count="0"/>
        </references>
      </pivotArea>
    </format>
    <format dxfId="4296">
      <pivotArea dataOnly="0" labelOnly="1" fieldPosition="0">
        <references count="3">
          <reference field="0" count="0"/>
          <reference field="1" count="1" selected="0">
            <x v="0"/>
          </reference>
          <reference field="2" count="1" selected="0">
            <x v="0"/>
          </reference>
        </references>
      </pivotArea>
    </format>
    <format dxfId="4295">
      <pivotArea dataOnly="0" labelOnly="1" fieldPosition="0">
        <references count="3">
          <reference field="0" count="0"/>
          <reference field="1" count="1" selected="0">
            <x v="0"/>
          </reference>
          <reference field="2" count="1" selected="0">
            <x v="1"/>
          </reference>
        </references>
      </pivotArea>
    </format>
    <format dxfId="4294">
      <pivotArea dataOnly="0" labelOnly="1" fieldPosition="0">
        <references count="3">
          <reference field="0" count="0"/>
          <reference field="1" count="1" selected="0">
            <x v="0"/>
          </reference>
          <reference field="2" count="1" selected="0">
            <x v="2"/>
          </reference>
        </references>
      </pivotArea>
    </format>
    <format dxfId="4293">
      <pivotArea dataOnly="0" labelOnly="1" fieldPosition="0">
        <references count="3">
          <reference field="0" count="0"/>
          <reference field="1" count="1" selected="0">
            <x v="0"/>
          </reference>
          <reference field="2" count="1" selected="0">
            <x v="3"/>
          </reference>
        </references>
      </pivotArea>
    </format>
    <format dxfId="4292">
      <pivotArea dataOnly="0" labelOnly="1" fieldPosition="0">
        <references count="3">
          <reference field="0" count="0"/>
          <reference field="1" count="1" selected="0">
            <x v="0"/>
          </reference>
          <reference field="2" count="1" selected="0">
            <x v="4"/>
          </reference>
        </references>
      </pivotArea>
    </format>
    <format dxfId="4291">
      <pivotArea dataOnly="0" labelOnly="1" fieldPosition="0">
        <references count="3">
          <reference field="0" count="0"/>
          <reference field="1" count="1" selected="0">
            <x v="0"/>
          </reference>
          <reference field="2" count="1" selected="0">
            <x v="5"/>
          </reference>
        </references>
      </pivotArea>
    </format>
    <format dxfId="4290">
      <pivotArea dataOnly="0" labelOnly="1" fieldPosition="0">
        <references count="3">
          <reference field="0" count="0"/>
          <reference field="1" count="1" selected="0">
            <x v="0"/>
          </reference>
          <reference field="2" count="1" selected="0">
            <x v="6"/>
          </reference>
        </references>
      </pivotArea>
    </format>
    <format dxfId="4289">
      <pivotArea dataOnly="0" labelOnly="1" fieldPosition="0">
        <references count="3">
          <reference field="0" count="0"/>
          <reference field="1" count="1" selected="0">
            <x v="0"/>
          </reference>
          <reference field="2" count="1" selected="0">
            <x v="7"/>
          </reference>
        </references>
      </pivotArea>
    </format>
    <format dxfId="4288">
      <pivotArea dataOnly="0" labelOnly="1" fieldPosition="0">
        <references count="3">
          <reference field="0" count="0"/>
          <reference field="1" count="1" selected="0">
            <x v="0"/>
          </reference>
          <reference field="2" count="1" selected="0">
            <x v="8"/>
          </reference>
        </references>
      </pivotArea>
    </format>
    <format dxfId="4287">
      <pivotArea dataOnly="0" labelOnly="1" fieldPosition="0">
        <references count="3">
          <reference field="0" count="0"/>
          <reference field="1" count="1" selected="0">
            <x v="0"/>
          </reference>
          <reference field="2" count="1" selected="0">
            <x v="9"/>
          </reference>
        </references>
      </pivotArea>
    </format>
    <format dxfId="4286">
      <pivotArea dataOnly="0" labelOnly="1" fieldPosition="0">
        <references count="3">
          <reference field="0" count="0"/>
          <reference field="1" count="1" selected="0">
            <x v="0"/>
          </reference>
          <reference field="2" count="1" selected="0">
            <x v="10"/>
          </reference>
        </references>
      </pivotArea>
    </format>
    <format dxfId="4285">
      <pivotArea dataOnly="0" labelOnly="1" fieldPosition="0">
        <references count="3">
          <reference field="0" count="0"/>
          <reference field="1" count="1" selected="0">
            <x v="0"/>
          </reference>
          <reference field="2" count="1" selected="0">
            <x v="11"/>
          </reference>
        </references>
      </pivotArea>
    </format>
    <format dxfId="4284">
      <pivotArea dataOnly="0" labelOnly="1" fieldPosition="0">
        <references count="3">
          <reference field="0" count="0"/>
          <reference field="1" count="1" selected="0">
            <x v="1"/>
          </reference>
          <reference field="2" count="1" selected="0">
            <x v="0"/>
          </reference>
        </references>
      </pivotArea>
    </format>
    <format dxfId="4283">
      <pivotArea dataOnly="0" labelOnly="1" fieldPosition="0">
        <references count="3">
          <reference field="0" count="0"/>
          <reference field="1" count="1" selected="0">
            <x v="1"/>
          </reference>
          <reference field="2" count="1" selected="0">
            <x v="1"/>
          </reference>
        </references>
      </pivotArea>
    </format>
    <format dxfId="4282">
      <pivotArea dataOnly="0" labelOnly="1" fieldPosition="0">
        <references count="3">
          <reference field="0" count="0"/>
          <reference field="1" count="1" selected="0">
            <x v="1"/>
          </reference>
          <reference field="2" count="1" selected="0">
            <x v="2"/>
          </reference>
        </references>
      </pivotArea>
    </format>
    <format dxfId="4281">
      <pivotArea dataOnly="0" labelOnly="1" fieldPosition="0">
        <references count="3">
          <reference field="0" count="0"/>
          <reference field="1" count="1" selected="0">
            <x v="1"/>
          </reference>
          <reference field="2" count="1" selected="0">
            <x v="3"/>
          </reference>
        </references>
      </pivotArea>
    </format>
    <format dxfId="4280">
      <pivotArea dataOnly="0" labelOnly="1" fieldPosition="0">
        <references count="3">
          <reference field="0" count="0"/>
          <reference field="1" count="1" selected="0">
            <x v="1"/>
          </reference>
          <reference field="2" count="1" selected="0">
            <x v="4"/>
          </reference>
        </references>
      </pivotArea>
    </format>
    <format dxfId="4279">
      <pivotArea dataOnly="0" labelOnly="1" fieldPosition="0">
        <references count="3">
          <reference field="0" count="0"/>
          <reference field="1" count="1" selected="0">
            <x v="1"/>
          </reference>
          <reference field="2" count="1" selected="0">
            <x v="5"/>
          </reference>
        </references>
      </pivotArea>
    </format>
    <format dxfId="4278">
      <pivotArea dataOnly="0" labelOnly="1" fieldPosition="0">
        <references count="3">
          <reference field="0" count="0"/>
          <reference field="1" count="1" selected="0">
            <x v="1"/>
          </reference>
          <reference field="2" count="1" selected="0">
            <x v="6"/>
          </reference>
        </references>
      </pivotArea>
    </format>
    <format dxfId="4277">
      <pivotArea dataOnly="0" labelOnly="1" fieldPosition="0">
        <references count="3">
          <reference field="0" count="0"/>
          <reference field="1" count="1" selected="0">
            <x v="1"/>
          </reference>
          <reference field="2" count="1" selected="0">
            <x v="7"/>
          </reference>
        </references>
      </pivotArea>
    </format>
    <format dxfId="4276">
      <pivotArea dataOnly="0" labelOnly="1" fieldPosition="0">
        <references count="3">
          <reference field="0" count="0"/>
          <reference field="1" count="1" selected="0">
            <x v="1"/>
          </reference>
          <reference field="2" count="1" selected="0">
            <x v="8"/>
          </reference>
        </references>
      </pivotArea>
    </format>
    <format dxfId="4275">
      <pivotArea dataOnly="0" labelOnly="1" fieldPosition="0">
        <references count="3">
          <reference field="0" count="0"/>
          <reference field="1" count="1" selected="0">
            <x v="1"/>
          </reference>
          <reference field="2" count="1" selected="0">
            <x v="9"/>
          </reference>
        </references>
      </pivotArea>
    </format>
    <format dxfId="4274">
      <pivotArea dataOnly="0" labelOnly="1" fieldPosition="0">
        <references count="3">
          <reference field="0" count="0"/>
          <reference field="1" count="1" selected="0">
            <x v="1"/>
          </reference>
          <reference field="2" count="1" selected="0">
            <x v="10"/>
          </reference>
        </references>
      </pivotArea>
    </format>
    <format dxfId="4273">
      <pivotArea dataOnly="0" labelOnly="1" fieldPosition="0">
        <references count="3">
          <reference field="0" count="0"/>
          <reference field="1" count="1" selected="0">
            <x v="1"/>
          </reference>
          <reference field="2" count="1" selected="0">
            <x v="11"/>
          </reference>
        </references>
      </pivotArea>
    </format>
    <format dxfId="4272">
      <pivotArea dataOnly="0" labelOnly="1" outline="0" axis="axisValues" fieldPosition="0"/>
    </format>
    <format dxfId="4271">
      <pivotArea type="all" dataOnly="0" outline="0" fieldPosition="0"/>
    </format>
    <format dxfId="4270">
      <pivotArea outline="0" collapsedLevelsAreSubtotals="1" fieldPosition="0"/>
    </format>
    <format dxfId="4269">
      <pivotArea field="1" type="button" dataOnly="0" labelOnly="1" outline="0" axis="axisRow" fieldPosition="0"/>
    </format>
    <format dxfId="4268">
      <pivotArea dataOnly="0" labelOnly="1" fieldPosition="0">
        <references count="1">
          <reference field="1" count="0"/>
        </references>
      </pivotArea>
    </format>
    <format dxfId="4267">
      <pivotArea dataOnly="0" labelOnly="1" fieldPosition="0">
        <references count="2">
          <reference field="1" count="1" selected="0">
            <x v="0"/>
          </reference>
          <reference field="2" count="0"/>
        </references>
      </pivotArea>
    </format>
    <format dxfId="4266">
      <pivotArea dataOnly="0" labelOnly="1" fieldPosition="0">
        <references count="2">
          <reference field="1" count="1" selected="0">
            <x v="1"/>
          </reference>
          <reference field="2" count="0"/>
        </references>
      </pivotArea>
    </format>
    <format dxfId="4265">
      <pivotArea dataOnly="0" labelOnly="1" fieldPosition="0">
        <references count="3">
          <reference field="0" count="0"/>
          <reference field="1" count="1" selected="0">
            <x v="0"/>
          </reference>
          <reference field="2" count="1" selected="0">
            <x v="0"/>
          </reference>
        </references>
      </pivotArea>
    </format>
    <format dxfId="4264">
      <pivotArea dataOnly="0" labelOnly="1" fieldPosition="0">
        <references count="3">
          <reference field="0" count="0"/>
          <reference field="1" count="1" selected="0">
            <x v="0"/>
          </reference>
          <reference field="2" count="1" selected="0">
            <x v="1"/>
          </reference>
        </references>
      </pivotArea>
    </format>
    <format dxfId="4263">
      <pivotArea dataOnly="0" labelOnly="1" fieldPosition="0">
        <references count="3">
          <reference field="0" count="0"/>
          <reference field="1" count="1" selected="0">
            <x v="0"/>
          </reference>
          <reference field="2" count="1" selected="0">
            <x v="2"/>
          </reference>
        </references>
      </pivotArea>
    </format>
    <format dxfId="4262">
      <pivotArea dataOnly="0" labelOnly="1" fieldPosition="0">
        <references count="3">
          <reference field="0" count="0"/>
          <reference field="1" count="1" selected="0">
            <x v="0"/>
          </reference>
          <reference field="2" count="1" selected="0">
            <x v="3"/>
          </reference>
        </references>
      </pivotArea>
    </format>
    <format dxfId="4261">
      <pivotArea dataOnly="0" labelOnly="1" fieldPosition="0">
        <references count="3">
          <reference field="0" count="0"/>
          <reference field="1" count="1" selected="0">
            <x v="0"/>
          </reference>
          <reference field="2" count="1" selected="0">
            <x v="4"/>
          </reference>
        </references>
      </pivotArea>
    </format>
    <format dxfId="4260">
      <pivotArea dataOnly="0" labelOnly="1" fieldPosition="0">
        <references count="3">
          <reference field="0" count="0"/>
          <reference field="1" count="1" selected="0">
            <x v="0"/>
          </reference>
          <reference field="2" count="1" selected="0">
            <x v="5"/>
          </reference>
        </references>
      </pivotArea>
    </format>
    <format dxfId="4259">
      <pivotArea dataOnly="0" labelOnly="1" fieldPosition="0">
        <references count="3">
          <reference field="0" count="0"/>
          <reference field="1" count="1" selected="0">
            <x v="0"/>
          </reference>
          <reference field="2" count="1" selected="0">
            <x v="6"/>
          </reference>
        </references>
      </pivotArea>
    </format>
    <format dxfId="4258">
      <pivotArea dataOnly="0" labelOnly="1" fieldPosition="0">
        <references count="3">
          <reference field="0" count="0"/>
          <reference field="1" count="1" selected="0">
            <x v="0"/>
          </reference>
          <reference field="2" count="1" selected="0">
            <x v="7"/>
          </reference>
        </references>
      </pivotArea>
    </format>
    <format dxfId="4257">
      <pivotArea dataOnly="0" labelOnly="1" fieldPosition="0">
        <references count="3">
          <reference field="0" count="0"/>
          <reference field="1" count="1" selected="0">
            <x v="0"/>
          </reference>
          <reference field="2" count="1" selected="0">
            <x v="8"/>
          </reference>
        </references>
      </pivotArea>
    </format>
    <format dxfId="4256">
      <pivotArea dataOnly="0" labelOnly="1" fieldPosition="0">
        <references count="3">
          <reference field="0" count="0"/>
          <reference field="1" count="1" selected="0">
            <x v="0"/>
          </reference>
          <reference field="2" count="1" selected="0">
            <x v="9"/>
          </reference>
        </references>
      </pivotArea>
    </format>
    <format dxfId="4255">
      <pivotArea dataOnly="0" labelOnly="1" fieldPosition="0">
        <references count="3">
          <reference field="0" count="0"/>
          <reference field="1" count="1" selected="0">
            <x v="0"/>
          </reference>
          <reference field="2" count="1" selected="0">
            <x v="10"/>
          </reference>
        </references>
      </pivotArea>
    </format>
    <format dxfId="4254">
      <pivotArea dataOnly="0" labelOnly="1" fieldPosition="0">
        <references count="3">
          <reference field="0" count="0"/>
          <reference field="1" count="1" selected="0">
            <x v="0"/>
          </reference>
          <reference field="2" count="1" selected="0">
            <x v="11"/>
          </reference>
        </references>
      </pivotArea>
    </format>
    <format dxfId="4253">
      <pivotArea dataOnly="0" labelOnly="1" fieldPosition="0">
        <references count="3">
          <reference field="0" count="0"/>
          <reference field="1" count="1" selected="0">
            <x v="1"/>
          </reference>
          <reference field="2" count="1" selected="0">
            <x v="0"/>
          </reference>
        </references>
      </pivotArea>
    </format>
    <format dxfId="4252">
      <pivotArea dataOnly="0" labelOnly="1" fieldPosition="0">
        <references count="3">
          <reference field="0" count="0"/>
          <reference field="1" count="1" selected="0">
            <x v="1"/>
          </reference>
          <reference field="2" count="1" selected="0">
            <x v="1"/>
          </reference>
        </references>
      </pivotArea>
    </format>
    <format dxfId="4251">
      <pivotArea dataOnly="0" labelOnly="1" fieldPosition="0">
        <references count="3">
          <reference field="0" count="0"/>
          <reference field="1" count="1" selected="0">
            <x v="1"/>
          </reference>
          <reference field="2" count="1" selected="0">
            <x v="2"/>
          </reference>
        </references>
      </pivotArea>
    </format>
    <format dxfId="4250">
      <pivotArea dataOnly="0" labelOnly="1" fieldPosition="0">
        <references count="3">
          <reference field="0" count="0"/>
          <reference field="1" count="1" selected="0">
            <x v="1"/>
          </reference>
          <reference field="2" count="1" selected="0">
            <x v="3"/>
          </reference>
        </references>
      </pivotArea>
    </format>
    <format dxfId="4249">
      <pivotArea dataOnly="0" labelOnly="1" fieldPosition="0">
        <references count="3">
          <reference field="0" count="0"/>
          <reference field="1" count="1" selected="0">
            <x v="1"/>
          </reference>
          <reference field="2" count="1" selected="0">
            <x v="4"/>
          </reference>
        </references>
      </pivotArea>
    </format>
    <format dxfId="4248">
      <pivotArea dataOnly="0" labelOnly="1" fieldPosition="0">
        <references count="3">
          <reference field="0" count="0"/>
          <reference field="1" count="1" selected="0">
            <x v="1"/>
          </reference>
          <reference field="2" count="1" selected="0">
            <x v="5"/>
          </reference>
        </references>
      </pivotArea>
    </format>
    <format dxfId="4247">
      <pivotArea dataOnly="0" labelOnly="1" fieldPosition="0">
        <references count="3">
          <reference field="0" count="0"/>
          <reference field="1" count="1" selected="0">
            <x v="1"/>
          </reference>
          <reference field="2" count="1" selected="0">
            <x v="6"/>
          </reference>
        </references>
      </pivotArea>
    </format>
    <format dxfId="4246">
      <pivotArea dataOnly="0" labelOnly="1" fieldPosition="0">
        <references count="3">
          <reference field="0" count="0"/>
          <reference field="1" count="1" selected="0">
            <x v="1"/>
          </reference>
          <reference field="2" count="1" selected="0">
            <x v="7"/>
          </reference>
        </references>
      </pivotArea>
    </format>
    <format dxfId="4245">
      <pivotArea dataOnly="0" labelOnly="1" fieldPosition="0">
        <references count="3">
          <reference field="0" count="0"/>
          <reference field="1" count="1" selected="0">
            <x v="1"/>
          </reference>
          <reference field="2" count="1" selected="0">
            <x v="8"/>
          </reference>
        </references>
      </pivotArea>
    </format>
    <format dxfId="4244">
      <pivotArea dataOnly="0" labelOnly="1" fieldPosition="0">
        <references count="3">
          <reference field="0" count="0"/>
          <reference field="1" count="1" selected="0">
            <x v="1"/>
          </reference>
          <reference field="2" count="1" selected="0">
            <x v="9"/>
          </reference>
        </references>
      </pivotArea>
    </format>
    <format dxfId="4243">
      <pivotArea dataOnly="0" labelOnly="1" fieldPosition="0">
        <references count="3">
          <reference field="0" count="0"/>
          <reference field="1" count="1" selected="0">
            <x v="1"/>
          </reference>
          <reference field="2" count="1" selected="0">
            <x v="10"/>
          </reference>
        </references>
      </pivotArea>
    </format>
    <format dxfId="4242">
      <pivotArea dataOnly="0" labelOnly="1" fieldPosition="0">
        <references count="3">
          <reference field="0" count="0"/>
          <reference field="1" count="1" selected="0">
            <x v="1"/>
          </reference>
          <reference field="2" count="1" selected="0">
            <x v="11"/>
          </reference>
        </references>
      </pivotArea>
    </format>
    <format dxfId="4241">
      <pivotArea dataOnly="0" labelOnly="1" outline="0" axis="axisValues" fieldPosition="0"/>
    </format>
    <format dxfId="4240">
      <pivotArea type="all" dataOnly="0" outline="0" fieldPosition="0"/>
    </format>
    <format dxfId="4239">
      <pivotArea outline="0" collapsedLevelsAreSubtotals="1" fieldPosition="0"/>
    </format>
    <format dxfId="4238">
      <pivotArea field="1" type="button" dataOnly="0" labelOnly="1" outline="0" axis="axisRow" fieldPosition="0"/>
    </format>
    <format dxfId="4237">
      <pivotArea dataOnly="0" labelOnly="1" fieldPosition="0">
        <references count="1">
          <reference field="1" count="0"/>
        </references>
      </pivotArea>
    </format>
    <format dxfId="4236">
      <pivotArea dataOnly="0" labelOnly="1" fieldPosition="0">
        <references count="2">
          <reference field="1" count="1" selected="0">
            <x v="0"/>
          </reference>
          <reference field="2" count="0"/>
        </references>
      </pivotArea>
    </format>
    <format dxfId="4235">
      <pivotArea dataOnly="0" labelOnly="1" fieldPosition="0">
        <references count="2">
          <reference field="1" count="1" selected="0">
            <x v="1"/>
          </reference>
          <reference field="2" count="0"/>
        </references>
      </pivotArea>
    </format>
    <format dxfId="4234">
      <pivotArea dataOnly="0" labelOnly="1" fieldPosition="0">
        <references count="3">
          <reference field="0" count="0"/>
          <reference field="1" count="1" selected="0">
            <x v="0"/>
          </reference>
          <reference field="2" count="1" selected="0">
            <x v="0"/>
          </reference>
        </references>
      </pivotArea>
    </format>
    <format dxfId="4233">
      <pivotArea dataOnly="0" labelOnly="1" fieldPosition="0">
        <references count="3">
          <reference field="0" count="0"/>
          <reference field="1" count="1" selected="0">
            <x v="0"/>
          </reference>
          <reference field="2" count="1" selected="0">
            <x v="1"/>
          </reference>
        </references>
      </pivotArea>
    </format>
    <format dxfId="4232">
      <pivotArea dataOnly="0" labelOnly="1" fieldPosition="0">
        <references count="3">
          <reference field="0" count="0"/>
          <reference field="1" count="1" selected="0">
            <x v="0"/>
          </reference>
          <reference field="2" count="1" selected="0">
            <x v="2"/>
          </reference>
        </references>
      </pivotArea>
    </format>
    <format dxfId="4231">
      <pivotArea dataOnly="0" labelOnly="1" fieldPosition="0">
        <references count="3">
          <reference field="0" count="0"/>
          <reference field="1" count="1" selected="0">
            <x v="0"/>
          </reference>
          <reference field="2" count="1" selected="0">
            <x v="3"/>
          </reference>
        </references>
      </pivotArea>
    </format>
    <format dxfId="4230">
      <pivotArea dataOnly="0" labelOnly="1" fieldPosition="0">
        <references count="3">
          <reference field="0" count="0"/>
          <reference field="1" count="1" selected="0">
            <x v="0"/>
          </reference>
          <reference field="2" count="1" selected="0">
            <x v="4"/>
          </reference>
        </references>
      </pivotArea>
    </format>
    <format dxfId="4229">
      <pivotArea dataOnly="0" labelOnly="1" fieldPosition="0">
        <references count="3">
          <reference field="0" count="0"/>
          <reference field="1" count="1" selected="0">
            <x v="0"/>
          </reference>
          <reference field="2" count="1" selected="0">
            <x v="5"/>
          </reference>
        </references>
      </pivotArea>
    </format>
    <format dxfId="4228">
      <pivotArea dataOnly="0" labelOnly="1" fieldPosition="0">
        <references count="3">
          <reference field="0" count="0"/>
          <reference field="1" count="1" selected="0">
            <x v="0"/>
          </reference>
          <reference field="2" count="1" selected="0">
            <x v="6"/>
          </reference>
        </references>
      </pivotArea>
    </format>
    <format dxfId="4227">
      <pivotArea dataOnly="0" labelOnly="1" fieldPosition="0">
        <references count="3">
          <reference field="0" count="0"/>
          <reference field="1" count="1" selected="0">
            <x v="0"/>
          </reference>
          <reference field="2" count="1" selected="0">
            <x v="7"/>
          </reference>
        </references>
      </pivotArea>
    </format>
    <format dxfId="4226">
      <pivotArea dataOnly="0" labelOnly="1" fieldPosition="0">
        <references count="3">
          <reference field="0" count="0"/>
          <reference field="1" count="1" selected="0">
            <x v="0"/>
          </reference>
          <reference field="2" count="1" selected="0">
            <x v="8"/>
          </reference>
        </references>
      </pivotArea>
    </format>
    <format dxfId="4225">
      <pivotArea dataOnly="0" labelOnly="1" fieldPosition="0">
        <references count="3">
          <reference field="0" count="0"/>
          <reference field="1" count="1" selected="0">
            <x v="0"/>
          </reference>
          <reference field="2" count="1" selected="0">
            <x v="9"/>
          </reference>
        </references>
      </pivotArea>
    </format>
    <format dxfId="4224">
      <pivotArea dataOnly="0" labelOnly="1" fieldPosition="0">
        <references count="3">
          <reference field="0" count="0"/>
          <reference field="1" count="1" selected="0">
            <x v="0"/>
          </reference>
          <reference field="2" count="1" selected="0">
            <x v="10"/>
          </reference>
        </references>
      </pivotArea>
    </format>
    <format dxfId="4223">
      <pivotArea dataOnly="0" labelOnly="1" fieldPosition="0">
        <references count="3">
          <reference field="0" count="0"/>
          <reference field="1" count="1" selected="0">
            <x v="0"/>
          </reference>
          <reference field="2" count="1" selected="0">
            <x v="11"/>
          </reference>
        </references>
      </pivotArea>
    </format>
    <format dxfId="4222">
      <pivotArea dataOnly="0" labelOnly="1" fieldPosition="0">
        <references count="3">
          <reference field="0" count="0"/>
          <reference field="1" count="1" selected="0">
            <x v="1"/>
          </reference>
          <reference field="2" count="1" selected="0">
            <x v="0"/>
          </reference>
        </references>
      </pivotArea>
    </format>
    <format dxfId="4221">
      <pivotArea dataOnly="0" labelOnly="1" fieldPosition="0">
        <references count="3">
          <reference field="0" count="0"/>
          <reference field="1" count="1" selected="0">
            <x v="1"/>
          </reference>
          <reference field="2" count="1" selected="0">
            <x v="1"/>
          </reference>
        </references>
      </pivotArea>
    </format>
    <format dxfId="4220">
      <pivotArea dataOnly="0" labelOnly="1" fieldPosition="0">
        <references count="3">
          <reference field="0" count="0"/>
          <reference field="1" count="1" selected="0">
            <x v="1"/>
          </reference>
          <reference field="2" count="1" selected="0">
            <x v="2"/>
          </reference>
        </references>
      </pivotArea>
    </format>
    <format dxfId="4219">
      <pivotArea dataOnly="0" labelOnly="1" fieldPosition="0">
        <references count="3">
          <reference field="0" count="0"/>
          <reference field="1" count="1" selected="0">
            <x v="1"/>
          </reference>
          <reference field="2" count="1" selected="0">
            <x v="3"/>
          </reference>
        </references>
      </pivotArea>
    </format>
    <format dxfId="4218">
      <pivotArea dataOnly="0" labelOnly="1" fieldPosition="0">
        <references count="3">
          <reference field="0" count="0"/>
          <reference field="1" count="1" selected="0">
            <x v="1"/>
          </reference>
          <reference field="2" count="1" selected="0">
            <x v="4"/>
          </reference>
        </references>
      </pivotArea>
    </format>
    <format dxfId="4217">
      <pivotArea dataOnly="0" labelOnly="1" fieldPosition="0">
        <references count="3">
          <reference field="0" count="0"/>
          <reference field="1" count="1" selected="0">
            <x v="1"/>
          </reference>
          <reference field="2" count="1" selected="0">
            <x v="5"/>
          </reference>
        </references>
      </pivotArea>
    </format>
    <format dxfId="4216">
      <pivotArea dataOnly="0" labelOnly="1" fieldPosition="0">
        <references count="3">
          <reference field="0" count="0"/>
          <reference field="1" count="1" selected="0">
            <x v="1"/>
          </reference>
          <reference field="2" count="1" selected="0">
            <x v="6"/>
          </reference>
        </references>
      </pivotArea>
    </format>
    <format dxfId="4215">
      <pivotArea dataOnly="0" labelOnly="1" fieldPosition="0">
        <references count="3">
          <reference field="0" count="0"/>
          <reference field="1" count="1" selected="0">
            <x v="1"/>
          </reference>
          <reference field="2" count="1" selected="0">
            <x v="7"/>
          </reference>
        </references>
      </pivotArea>
    </format>
    <format dxfId="4214">
      <pivotArea dataOnly="0" labelOnly="1" fieldPosition="0">
        <references count="3">
          <reference field="0" count="0"/>
          <reference field="1" count="1" selected="0">
            <x v="1"/>
          </reference>
          <reference field="2" count="1" selected="0">
            <x v="8"/>
          </reference>
        </references>
      </pivotArea>
    </format>
    <format dxfId="4213">
      <pivotArea dataOnly="0" labelOnly="1" fieldPosition="0">
        <references count="3">
          <reference field="0" count="0"/>
          <reference field="1" count="1" selected="0">
            <x v="1"/>
          </reference>
          <reference field="2" count="1" selected="0">
            <x v="9"/>
          </reference>
        </references>
      </pivotArea>
    </format>
    <format dxfId="4212">
      <pivotArea dataOnly="0" labelOnly="1" fieldPosition="0">
        <references count="3">
          <reference field="0" count="0"/>
          <reference field="1" count="1" selected="0">
            <x v="1"/>
          </reference>
          <reference field="2" count="1" selected="0">
            <x v="10"/>
          </reference>
        </references>
      </pivotArea>
    </format>
    <format dxfId="4211">
      <pivotArea dataOnly="0" labelOnly="1" fieldPosition="0">
        <references count="3">
          <reference field="0" count="0"/>
          <reference field="1" count="1" selected="0">
            <x v="1"/>
          </reference>
          <reference field="2" count="1" selected="0">
            <x v="11"/>
          </reference>
        </references>
      </pivotArea>
    </format>
    <format dxfId="4210">
      <pivotArea dataOnly="0" labelOnly="1" outline="0" axis="axisValues" fieldPosition="0"/>
    </format>
    <format dxfId="4209">
      <pivotArea collapsedLevelsAreSubtotals="1" fieldPosition="0">
        <references count="1">
          <reference field="1" count="1">
            <x v="0"/>
          </reference>
        </references>
      </pivotArea>
    </format>
    <format dxfId="4208">
      <pivotArea dataOnly="0" labelOnly="1" fieldPosition="0">
        <references count="1">
          <reference field="1" count="1">
            <x v="0"/>
          </reference>
        </references>
      </pivotArea>
    </format>
    <format dxfId="4207">
      <pivotArea collapsedLevelsAreSubtotals="1" fieldPosition="0">
        <references count="2">
          <reference field="1" count="1" selected="0">
            <x v="0"/>
          </reference>
          <reference field="2" count="1">
            <x v="0"/>
          </reference>
        </references>
      </pivotArea>
    </format>
    <format dxfId="4206">
      <pivotArea dataOnly="0" labelOnly="1" fieldPosition="0">
        <references count="2">
          <reference field="1" count="1" selected="0">
            <x v="0"/>
          </reference>
          <reference field="2" count="1">
            <x v="0"/>
          </reference>
        </references>
      </pivotArea>
    </format>
    <format dxfId="4205">
      <pivotArea collapsedLevelsAreSubtotals="1" fieldPosition="0">
        <references count="2">
          <reference field="1" count="1" selected="0">
            <x v="0"/>
          </reference>
          <reference field="2" count="1">
            <x v="1"/>
          </reference>
        </references>
      </pivotArea>
    </format>
    <format dxfId="4204">
      <pivotArea dataOnly="0" labelOnly="1" fieldPosition="0">
        <references count="2">
          <reference field="1" count="1" selected="0">
            <x v="0"/>
          </reference>
          <reference field="2" count="1">
            <x v="1"/>
          </reference>
        </references>
      </pivotArea>
    </format>
    <format dxfId="4203">
      <pivotArea collapsedLevelsAreSubtotals="1" fieldPosition="0">
        <references count="2">
          <reference field="1" count="1" selected="0">
            <x v="0"/>
          </reference>
          <reference field="2" count="1">
            <x v="2"/>
          </reference>
        </references>
      </pivotArea>
    </format>
    <format dxfId="4202">
      <pivotArea dataOnly="0" labelOnly="1" fieldPosition="0">
        <references count="2">
          <reference field="1" count="1" selected="0">
            <x v="0"/>
          </reference>
          <reference field="2" count="1">
            <x v="2"/>
          </reference>
        </references>
      </pivotArea>
    </format>
    <format dxfId="4201">
      <pivotArea collapsedLevelsAreSubtotals="1" fieldPosition="0">
        <references count="2">
          <reference field="1" count="1" selected="0">
            <x v="0"/>
          </reference>
          <reference field="2" count="1">
            <x v="3"/>
          </reference>
        </references>
      </pivotArea>
    </format>
    <format dxfId="4200">
      <pivotArea dataOnly="0" labelOnly="1" fieldPosition="0">
        <references count="2">
          <reference field="1" count="1" selected="0">
            <x v="0"/>
          </reference>
          <reference field="2" count="1">
            <x v="3"/>
          </reference>
        </references>
      </pivotArea>
    </format>
    <format dxfId="4199">
      <pivotArea collapsedLevelsAreSubtotals="1" fieldPosition="0">
        <references count="2">
          <reference field="1" count="1" selected="0">
            <x v="0"/>
          </reference>
          <reference field="2" count="1">
            <x v="4"/>
          </reference>
        </references>
      </pivotArea>
    </format>
    <format dxfId="4198">
      <pivotArea dataOnly="0" labelOnly="1" fieldPosition="0">
        <references count="2">
          <reference field="1" count="1" selected="0">
            <x v="0"/>
          </reference>
          <reference field="2" count="1">
            <x v="4"/>
          </reference>
        </references>
      </pivotArea>
    </format>
    <format dxfId="4197">
      <pivotArea collapsedLevelsAreSubtotals="1" fieldPosition="0">
        <references count="2">
          <reference field="1" count="1" selected="0">
            <x v="0"/>
          </reference>
          <reference field="2" count="1">
            <x v="5"/>
          </reference>
        </references>
      </pivotArea>
    </format>
    <format dxfId="4196">
      <pivotArea dataOnly="0" labelOnly="1" fieldPosition="0">
        <references count="2">
          <reference field="1" count="1" selected="0">
            <x v="0"/>
          </reference>
          <reference field="2" count="1">
            <x v="5"/>
          </reference>
        </references>
      </pivotArea>
    </format>
    <format dxfId="4195">
      <pivotArea collapsedLevelsAreSubtotals="1" fieldPosition="0">
        <references count="2">
          <reference field="1" count="1" selected="0">
            <x v="0"/>
          </reference>
          <reference field="2" count="1">
            <x v="6"/>
          </reference>
        </references>
      </pivotArea>
    </format>
    <format dxfId="4194">
      <pivotArea dataOnly="0" labelOnly="1" fieldPosition="0">
        <references count="2">
          <reference field="1" count="1" selected="0">
            <x v="0"/>
          </reference>
          <reference field="2" count="1">
            <x v="6"/>
          </reference>
        </references>
      </pivotArea>
    </format>
    <format dxfId="4193">
      <pivotArea collapsedLevelsAreSubtotals="1" fieldPosition="0">
        <references count="2">
          <reference field="1" count="1" selected="0">
            <x v="0"/>
          </reference>
          <reference field="2" count="1">
            <x v="7"/>
          </reference>
        </references>
      </pivotArea>
    </format>
    <format dxfId="4192">
      <pivotArea dataOnly="0" labelOnly="1" fieldPosition="0">
        <references count="2">
          <reference field="1" count="1" selected="0">
            <x v="0"/>
          </reference>
          <reference field="2" count="1">
            <x v="7"/>
          </reference>
        </references>
      </pivotArea>
    </format>
    <format dxfId="4191">
      <pivotArea collapsedLevelsAreSubtotals="1" fieldPosition="0">
        <references count="2">
          <reference field="1" count="1" selected="0">
            <x v="0"/>
          </reference>
          <reference field="2" count="1">
            <x v="8"/>
          </reference>
        </references>
      </pivotArea>
    </format>
    <format dxfId="4190">
      <pivotArea dataOnly="0" labelOnly="1" fieldPosition="0">
        <references count="2">
          <reference field="1" count="1" selected="0">
            <x v="0"/>
          </reference>
          <reference field="2" count="1">
            <x v="8"/>
          </reference>
        </references>
      </pivotArea>
    </format>
    <format dxfId="4189">
      <pivotArea collapsedLevelsAreSubtotals="1" fieldPosition="0">
        <references count="2">
          <reference field="1" count="1" selected="0">
            <x v="0"/>
          </reference>
          <reference field="2" count="1">
            <x v="9"/>
          </reference>
        </references>
      </pivotArea>
    </format>
    <format dxfId="4188">
      <pivotArea dataOnly="0" labelOnly="1" fieldPosition="0">
        <references count="2">
          <reference field="1" count="1" selected="0">
            <x v="0"/>
          </reference>
          <reference field="2" count="1">
            <x v="9"/>
          </reference>
        </references>
      </pivotArea>
    </format>
    <format dxfId="4187">
      <pivotArea collapsedLevelsAreSubtotals="1" fieldPosition="0">
        <references count="2">
          <reference field="1" count="1" selected="0">
            <x v="0"/>
          </reference>
          <reference field="2" count="1">
            <x v="10"/>
          </reference>
        </references>
      </pivotArea>
    </format>
    <format dxfId="4186">
      <pivotArea dataOnly="0" labelOnly="1" fieldPosition="0">
        <references count="2">
          <reference field="1" count="1" selected="0">
            <x v="0"/>
          </reference>
          <reference field="2" count="1">
            <x v="10"/>
          </reference>
        </references>
      </pivotArea>
    </format>
    <format dxfId="4185">
      <pivotArea collapsedLevelsAreSubtotals="1" fieldPosition="0">
        <references count="2">
          <reference field="1" count="1" selected="0">
            <x v="0"/>
          </reference>
          <reference field="2" count="1">
            <x v="11"/>
          </reference>
        </references>
      </pivotArea>
    </format>
    <format dxfId="4184">
      <pivotArea dataOnly="0" labelOnly="1" fieldPosition="0">
        <references count="2">
          <reference field="1" count="1" selected="0">
            <x v="0"/>
          </reference>
          <reference field="2" count="1">
            <x v="11"/>
          </reference>
        </references>
      </pivotArea>
    </format>
    <format dxfId="4183">
      <pivotArea collapsedLevelsAreSubtotals="1" fieldPosition="0">
        <references count="1">
          <reference field="1" count="1">
            <x v="1"/>
          </reference>
        </references>
      </pivotArea>
    </format>
    <format dxfId="4182">
      <pivotArea dataOnly="0" labelOnly="1" fieldPosition="0">
        <references count="1">
          <reference field="1" count="1">
            <x v="1"/>
          </reference>
        </references>
      </pivotArea>
    </format>
    <format dxfId="4181">
      <pivotArea collapsedLevelsAreSubtotals="1" fieldPosition="0">
        <references count="2">
          <reference field="1" count="1" selected="0">
            <x v="1"/>
          </reference>
          <reference field="2" count="1">
            <x v="0"/>
          </reference>
        </references>
      </pivotArea>
    </format>
    <format dxfId="4180">
      <pivotArea dataOnly="0" labelOnly="1" fieldPosition="0">
        <references count="2">
          <reference field="1" count="1" selected="0">
            <x v="1"/>
          </reference>
          <reference field="2" count="1">
            <x v="0"/>
          </reference>
        </references>
      </pivotArea>
    </format>
    <format dxfId="4179">
      <pivotArea collapsedLevelsAreSubtotals="1" fieldPosition="0">
        <references count="2">
          <reference field="1" count="1" selected="0">
            <x v="1"/>
          </reference>
          <reference field="2" count="1">
            <x v="1"/>
          </reference>
        </references>
      </pivotArea>
    </format>
    <format dxfId="4178">
      <pivotArea dataOnly="0" labelOnly="1" fieldPosition="0">
        <references count="2">
          <reference field="1" count="1" selected="0">
            <x v="1"/>
          </reference>
          <reference field="2" count="1">
            <x v="1"/>
          </reference>
        </references>
      </pivotArea>
    </format>
    <format dxfId="4177">
      <pivotArea collapsedLevelsAreSubtotals="1" fieldPosition="0">
        <references count="2">
          <reference field="1" count="1" selected="0">
            <x v="1"/>
          </reference>
          <reference field="2" count="1">
            <x v="2"/>
          </reference>
        </references>
      </pivotArea>
    </format>
    <format dxfId="4176">
      <pivotArea dataOnly="0" labelOnly="1" fieldPosition="0">
        <references count="2">
          <reference field="1" count="1" selected="0">
            <x v="1"/>
          </reference>
          <reference field="2" count="1">
            <x v="2"/>
          </reference>
        </references>
      </pivotArea>
    </format>
    <format dxfId="4175">
      <pivotArea collapsedLevelsAreSubtotals="1" fieldPosition="0">
        <references count="2">
          <reference field="1" count="1" selected="0">
            <x v="1"/>
          </reference>
          <reference field="2" count="1">
            <x v="3"/>
          </reference>
        </references>
      </pivotArea>
    </format>
    <format dxfId="4174">
      <pivotArea dataOnly="0" labelOnly="1" fieldPosition="0">
        <references count="2">
          <reference field="1" count="1" selected="0">
            <x v="1"/>
          </reference>
          <reference field="2" count="1">
            <x v="3"/>
          </reference>
        </references>
      </pivotArea>
    </format>
    <format dxfId="4173">
      <pivotArea collapsedLevelsAreSubtotals="1" fieldPosition="0">
        <references count="2">
          <reference field="1" count="1" selected="0">
            <x v="1"/>
          </reference>
          <reference field="2" count="1">
            <x v="4"/>
          </reference>
        </references>
      </pivotArea>
    </format>
    <format dxfId="4172">
      <pivotArea dataOnly="0" labelOnly="1" fieldPosition="0">
        <references count="2">
          <reference field="1" count="1" selected="0">
            <x v="1"/>
          </reference>
          <reference field="2" count="1">
            <x v="4"/>
          </reference>
        </references>
      </pivotArea>
    </format>
    <format dxfId="4171">
      <pivotArea collapsedLevelsAreSubtotals="1" fieldPosition="0">
        <references count="2">
          <reference field="1" count="1" selected="0">
            <x v="1"/>
          </reference>
          <reference field="2" count="1">
            <x v="5"/>
          </reference>
        </references>
      </pivotArea>
    </format>
    <format dxfId="4170">
      <pivotArea dataOnly="0" labelOnly="1" fieldPosition="0">
        <references count="2">
          <reference field="1" count="1" selected="0">
            <x v="1"/>
          </reference>
          <reference field="2" count="1">
            <x v="5"/>
          </reference>
        </references>
      </pivotArea>
    </format>
    <format dxfId="4169">
      <pivotArea collapsedLevelsAreSubtotals="1" fieldPosition="0">
        <references count="2">
          <reference field="1" count="1" selected="0">
            <x v="1"/>
          </reference>
          <reference field="2" count="1">
            <x v="6"/>
          </reference>
        </references>
      </pivotArea>
    </format>
    <format dxfId="4168">
      <pivotArea dataOnly="0" labelOnly="1" fieldPosition="0">
        <references count="2">
          <reference field="1" count="1" selected="0">
            <x v="1"/>
          </reference>
          <reference field="2" count="1">
            <x v="6"/>
          </reference>
        </references>
      </pivotArea>
    </format>
    <format dxfId="4167">
      <pivotArea collapsedLevelsAreSubtotals="1" fieldPosition="0">
        <references count="2">
          <reference field="1" count="1" selected="0">
            <x v="1"/>
          </reference>
          <reference field="2" count="1">
            <x v="7"/>
          </reference>
        </references>
      </pivotArea>
    </format>
    <format dxfId="4166">
      <pivotArea dataOnly="0" labelOnly="1" fieldPosition="0">
        <references count="2">
          <reference field="1" count="1" selected="0">
            <x v="1"/>
          </reference>
          <reference field="2" count="1">
            <x v="7"/>
          </reference>
        </references>
      </pivotArea>
    </format>
    <format dxfId="4165">
      <pivotArea collapsedLevelsAreSubtotals="1" fieldPosition="0">
        <references count="2">
          <reference field="1" count="1" selected="0">
            <x v="1"/>
          </reference>
          <reference field="2" count="1">
            <x v="8"/>
          </reference>
        </references>
      </pivotArea>
    </format>
    <format dxfId="4164">
      <pivotArea dataOnly="0" labelOnly="1" fieldPosition="0">
        <references count="2">
          <reference field="1" count="1" selected="0">
            <x v="1"/>
          </reference>
          <reference field="2" count="1">
            <x v="8"/>
          </reference>
        </references>
      </pivotArea>
    </format>
    <format dxfId="4163">
      <pivotArea collapsedLevelsAreSubtotals="1" fieldPosition="0">
        <references count="2">
          <reference field="1" count="1" selected="0">
            <x v="1"/>
          </reference>
          <reference field="2" count="1">
            <x v="9"/>
          </reference>
        </references>
      </pivotArea>
    </format>
    <format dxfId="4162">
      <pivotArea dataOnly="0" labelOnly="1" fieldPosition="0">
        <references count="2">
          <reference field="1" count="1" selected="0">
            <x v="1"/>
          </reference>
          <reference field="2" count="1">
            <x v="9"/>
          </reference>
        </references>
      </pivotArea>
    </format>
    <format dxfId="4161">
      <pivotArea collapsedLevelsAreSubtotals="1" fieldPosition="0">
        <references count="2">
          <reference field="1" count="1" selected="0">
            <x v="1"/>
          </reference>
          <reference field="2" count="1">
            <x v="10"/>
          </reference>
        </references>
      </pivotArea>
    </format>
    <format dxfId="4160">
      <pivotArea dataOnly="0" labelOnly="1" fieldPosition="0">
        <references count="2">
          <reference field="1" count="1" selected="0">
            <x v="1"/>
          </reference>
          <reference field="2" count="1">
            <x v="10"/>
          </reference>
        </references>
      </pivotArea>
    </format>
    <format dxfId="4159">
      <pivotArea collapsedLevelsAreSubtotals="1" fieldPosition="0">
        <references count="2">
          <reference field="1" count="1" selected="0">
            <x v="1"/>
          </reference>
          <reference field="2" count="1">
            <x v="11"/>
          </reference>
        </references>
      </pivotArea>
    </format>
    <format dxfId="4158">
      <pivotArea dataOnly="0" labelOnly="1" fieldPosition="0">
        <references count="2">
          <reference field="1" count="1" selected="0">
            <x v="1"/>
          </reference>
          <reference field="2" count="1">
            <x v="11"/>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FD9340D6-C7F3-4DDB-A020-94D7C0388844}" sourceName="zone">
  <pivotTables>
    <pivotTable tabId="4" name="PivotTable2"/>
    <pivotTable tabId="4" name="PivotTable3"/>
    <pivotTable tabId="4" name="PivotTable5"/>
    <pivotTable tabId="4" name="PivotTable6"/>
  </pivotTables>
  <data>
    <tabular pivotCacheId="649956754">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13B39E8-B7BF-41AB-A979-53D3F219C6C4}" sourceName="year">
  <pivotTables>
    <pivotTable tabId="4" name="PivotTable2"/>
  </pivotTables>
  <data>
    <tabular pivotCacheId="64995675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DE5E603-197F-4FA2-825B-D29724BFD4B3}" sourceName="month">
  <pivotTables>
    <pivotTable tabId="4" name="PivotTable2"/>
    <pivotTable tabId="4" name="PivotTable3"/>
    <pivotTable tabId="4" name="PivotTable5"/>
    <pivotTable tabId="4" name="PivotTable6"/>
  </pivotTables>
  <data>
    <tabular pivotCacheId="64995675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62712E0C-D94A-424E-A6F1-CDC6C9DEF90E}" cache="Slicer_zone" caption="zone" rowHeight="257175"/>
  <slicer name="year" xr10:uid="{CBB94DE2-EBE1-47C3-8B58-0068036666E1}" cache="Slicer_year" caption="year" rowHeight="257175"/>
  <slicer name="month" xr10:uid="{FE4CFF73-7E39-4ECC-8A57-F8FC9360EC79}" cache="Slicer_month" caption="month"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211B2A-6A67-4040-9892-A581BA375763}" name="Table1" displayName="Table1" ref="A1:L241" totalsRowShown="0" headerRowDxfId="4304" headerRowBorderDxfId="4317" tableBorderDxfId="4318" totalsRowBorderDxfId="4316">
  <autoFilter ref="A1:L241" xr:uid="{A6211B2A-6A67-4040-9892-A581BA375763}"/>
  <tableColumns count="12">
    <tableColumn id="1" xr3:uid="{27B8C221-9F92-4C53-9536-1C4EA1CF5560}" name="zone" dataDxfId="4315"/>
    <tableColumn id="2" xr3:uid="{C8FC8078-CF67-4E0C-91A3-D59658A10781}" name="year" dataDxfId="4314"/>
    <tableColumn id="3" xr3:uid="{0AF1FCC4-A0ED-49A7-AFB1-9A1544DF98BC}" name="month" dataDxfId="4313"/>
    <tableColumn id="4" xr3:uid="{5030F4BE-6AF9-421C-8A7E-47A33ECBA6AC}" name="population" dataDxfId="4312"/>
    <tableColumn id="5" xr3:uid="{361C6561-7FB2-468E-B519-63D045118474}" name="avg_daily_usage_L" dataDxfId="4311"/>
    <tableColumn id="6" xr3:uid="{E0DD478D-0AB4-4055-8EDD-E8A9C8CECC99}" name="residential_L" dataDxfId="4310"/>
    <tableColumn id="7" xr3:uid="{5382F927-1DBA-4453-A812-195CDB89A9B5}" name="commercial_L" dataDxfId="4309"/>
    <tableColumn id="8" xr3:uid="{247E682F-CDA1-4546-A129-4C3088F7728E}" name="industrial_L" dataDxfId="4308"/>
    <tableColumn id="9" xr3:uid="{D436C81B-BBE2-41D2-8294-4C2D43B389F8}" name="rainfall_mm" dataDxfId="4307"/>
    <tableColumn id="10" xr3:uid="{39FBC849-8A2F-42BB-B6BB-CA16E303994C}" name="avg_temp_C" dataDxfId="4306"/>
    <tableColumn id="11" xr3:uid="{166DF2DF-538E-4870-8FFB-479FC54C74ED}" name="conservation_flag" dataDxfId="4305"/>
    <tableColumn id="12" xr3:uid="{46780F7C-2487-4175-A549-16E0EFB62BDE}" name="Seasons" dataDxfId="4303"/>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44F30-B922-4898-A672-88DEEABAD062}">
  <dimension ref="A1:L241"/>
  <sheetViews>
    <sheetView tabSelected="1" workbookViewId="0">
      <selection activeCell="M1" sqref="M1"/>
    </sheetView>
  </sheetViews>
  <sheetFormatPr defaultRowHeight="15" x14ac:dyDescent="0.25"/>
  <cols>
    <col min="4" max="4" width="15.28515625" customWidth="1"/>
    <col min="5" max="5" width="19.140625" customWidth="1"/>
    <col min="6" max="6" width="15.28515625" customWidth="1"/>
    <col min="7" max="7" width="15.42578125" customWidth="1"/>
    <col min="8" max="8" width="13.42578125" customWidth="1"/>
    <col min="9" max="9" width="15.5703125" customWidth="1"/>
    <col min="10" max="10" width="14.140625" customWidth="1"/>
    <col min="11" max="11" width="27" customWidth="1"/>
    <col min="12" max="12" width="20.140625" customWidth="1"/>
    <col min="13" max="13" width="13.5703125" customWidth="1"/>
  </cols>
  <sheetData>
    <row r="1" spans="1:12" x14ac:dyDescent="0.25">
      <c r="A1" s="1" t="s">
        <v>0</v>
      </c>
      <c r="B1" s="2" t="s">
        <v>1</v>
      </c>
      <c r="C1" s="2" t="s">
        <v>2</v>
      </c>
      <c r="D1" s="2" t="s">
        <v>3</v>
      </c>
      <c r="E1" s="2" t="s">
        <v>4</v>
      </c>
      <c r="F1" s="2" t="s">
        <v>5</v>
      </c>
      <c r="G1" s="2" t="s">
        <v>6</v>
      </c>
      <c r="H1" s="2" t="s">
        <v>7</v>
      </c>
      <c r="I1" s="2" t="s">
        <v>8</v>
      </c>
      <c r="J1" s="2" t="s">
        <v>9</v>
      </c>
      <c r="K1" s="3" t="s">
        <v>10</v>
      </c>
      <c r="L1" s="2" t="s">
        <v>40</v>
      </c>
    </row>
    <row r="2" spans="1:12" x14ac:dyDescent="0.25">
      <c r="A2" s="4" t="s">
        <v>11</v>
      </c>
      <c r="B2" s="5">
        <v>2023</v>
      </c>
      <c r="C2" s="5" t="s">
        <v>12</v>
      </c>
      <c r="D2" s="5">
        <v>41173</v>
      </c>
      <c r="E2" s="5">
        <v>178.1</v>
      </c>
      <c r="F2" s="5">
        <v>123.1</v>
      </c>
      <c r="G2" s="5">
        <v>31.4</v>
      </c>
      <c r="H2" s="5">
        <v>23.6</v>
      </c>
      <c r="I2" s="5">
        <v>0</v>
      </c>
      <c r="J2" s="5">
        <v>23.6</v>
      </c>
      <c r="K2" s="6" t="s">
        <v>13</v>
      </c>
      <c r="L2" s="2" t="s">
        <v>36</v>
      </c>
    </row>
    <row r="3" spans="1:12" x14ac:dyDescent="0.25">
      <c r="A3" s="4" t="s">
        <v>11</v>
      </c>
      <c r="B3" s="5">
        <v>2023</v>
      </c>
      <c r="C3" s="5" t="s">
        <v>14</v>
      </c>
      <c r="D3" s="5">
        <v>36850</v>
      </c>
      <c r="E3" s="5">
        <v>181.2</v>
      </c>
      <c r="F3" s="5">
        <v>134.6</v>
      </c>
      <c r="G3" s="5">
        <v>25.6</v>
      </c>
      <c r="H3" s="5">
        <v>21</v>
      </c>
      <c r="I3" s="5">
        <v>1.9</v>
      </c>
      <c r="J3" s="5">
        <v>24.5</v>
      </c>
      <c r="K3" s="6" t="s">
        <v>13</v>
      </c>
      <c r="L3" s="5" t="s">
        <v>36</v>
      </c>
    </row>
    <row r="4" spans="1:12" x14ac:dyDescent="0.25">
      <c r="A4" s="4" t="s">
        <v>11</v>
      </c>
      <c r="B4" s="5">
        <v>2023</v>
      </c>
      <c r="C4" s="5" t="s">
        <v>15</v>
      </c>
      <c r="D4" s="5">
        <v>32696</v>
      </c>
      <c r="E4" s="5">
        <v>215</v>
      </c>
      <c r="F4" s="5">
        <v>156.6</v>
      </c>
      <c r="G4" s="5">
        <v>30.3</v>
      </c>
      <c r="H4" s="5">
        <v>28.1</v>
      </c>
      <c r="I4" s="5">
        <v>7.4</v>
      </c>
      <c r="J4" s="5">
        <v>28.7</v>
      </c>
      <c r="K4" s="6" t="s">
        <v>13</v>
      </c>
      <c r="L4" s="5" t="s">
        <v>39</v>
      </c>
    </row>
    <row r="5" spans="1:12" x14ac:dyDescent="0.25">
      <c r="A5" s="4" t="s">
        <v>11</v>
      </c>
      <c r="B5" s="5">
        <v>2023</v>
      </c>
      <c r="C5" s="5" t="s">
        <v>16</v>
      </c>
      <c r="D5" s="5">
        <v>32821</v>
      </c>
      <c r="E5" s="5">
        <v>227.5</v>
      </c>
      <c r="F5" s="5">
        <v>159.5</v>
      </c>
      <c r="G5" s="5">
        <v>38.799999999999997</v>
      </c>
      <c r="H5" s="5">
        <v>29.2</v>
      </c>
      <c r="I5" s="5">
        <v>36.200000000000003</v>
      </c>
      <c r="J5" s="5">
        <v>32.6</v>
      </c>
      <c r="K5" s="6" t="s">
        <v>13</v>
      </c>
      <c r="L5" s="5" t="s">
        <v>38</v>
      </c>
    </row>
    <row r="6" spans="1:12" x14ac:dyDescent="0.25">
      <c r="A6" s="4" t="s">
        <v>11</v>
      </c>
      <c r="B6" s="5">
        <v>2023</v>
      </c>
      <c r="C6" s="5" t="s">
        <v>17</v>
      </c>
      <c r="D6" s="5">
        <v>60119</v>
      </c>
      <c r="E6" s="5">
        <v>266.7</v>
      </c>
      <c r="F6" s="5">
        <v>194.8</v>
      </c>
      <c r="G6" s="5">
        <v>41.7</v>
      </c>
      <c r="H6" s="5">
        <v>30.2</v>
      </c>
      <c r="I6" s="5">
        <v>19.600000000000001</v>
      </c>
      <c r="J6" s="5">
        <v>35.1</v>
      </c>
      <c r="K6" s="6" t="s">
        <v>18</v>
      </c>
      <c r="L6" s="5" t="s">
        <v>38</v>
      </c>
    </row>
    <row r="7" spans="1:12" x14ac:dyDescent="0.25">
      <c r="A7" s="4" t="s">
        <v>11</v>
      </c>
      <c r="B7" s="5">
        <v>2023</v>
      </c>
      <c r="C7" s="5" t="s">
        <v>19</v>
      </c>
      <c r="D7" s="5">
        <v>35909</v>
      </c>
      <c r="E7" s="5">
        <v>295.89999999999998</v>
      </c>
      <c r="F7" s="5">
        <v>218.8</v>
      </c>
      <c r="G7" s="5">
        <v>41</v>
      </c>
      <c r="H7" s="5">
        <v>36.1</v>
      </c>
      <c r="I7" s="5">
        <v>94.4</v>
      </c>
      <c r="J7" s="5">
        <v>38.1</v>
      </c>
      <c r="K7" s="6" t="s">
        <v>18</v>
      </c>
      <c r="L7" s="5" t="s">
        <v>38</v>
      </c>
    </row>
    <row r="8" spans="1:12" x14ac:dyDescent="0.25">
      <c r="A8" s="4" t="s">
        <v>11</v>
      </c>
      <c r="B8" s="5">
        <v>2023</v>
      </c>
      <c r="C8" s="5" t="s">
        <v>20</v>
      </c>
      <c r="D8" s="5">
        <v>55114</v>
      </c>
      <c r="E8" s="5">
        <v>332.9</v>
      </c>
      <c r="F8" s="5">
        <v>251.8</v>
      </c>
      <c r="G8" s="5">
        <v>41.3</v>
      </c>
      <c r="H8" s="5">
        <v>39.799999999999997</v>
      </c>
      <c r="I8" s="5">
        <v>163.5</v>
      </c>
      <c r="J8" s="5">
        <v>31</v>
      </c>
      <c r="K8" s="6" t="s">
        <v>21</v>
      </c>
      <c r="L8" s="5" t="s">
        <v>37</v>
      </c>
    </row>
    <row r="9" spans="1:12" x14ac:dyDescent="0.25">
      <c r="A9" s="4" t="s">
        <v>11</v>
      </c>
      <c r="B9" s="5">
        <v>2023</v>
      </c>
      <c r="C9" s="5" t="s">
        <v>22</v>
      </c>
      <c r="D9" s="5">
        <v>52765</v>
      </c>
      <c r="E9" s="5">
        <v>307</v>
      </c>
      <c r="F9" s="5">
        <v>233.9</v>
      </c>
      <c r="G9" s="5">
        <v>44.6</v>
      </c>
      <c r="H9" s="5">
        <v>28.5</v>
      </c>
      <c r="I9" s="5">
        <v>139.80000000000001</v>
      </c>
      <c r="J9" s="5">
        <v>34.200000000000003</v>
      </c>
      <c r="K9" s="6" t="s">
        <v>21</v>
      </c>
      <c r="L9" s="5" t="s">
        <v>37</v>
      </c>
    </row>
    <row r="10" spans="1:12" x14ac:dyDescent="0.25">
      <c r="A10" s="4" t="s">
        <v>11</v>
      </c>
      <c r="B10" s="5">
        <v>2023</v>
      </c>
      <c r="C10" s="5" t="s">
        <v>23</v>
      </c>
      <c r="D10" s="5">
        <v>55197</v>
      </c>
      <c r="E10" s="5">
        <v>281.3</v>
      </c>
      <c r="F10" s="5">
        <v>200</v>
      </c>
      <c r="G10" s="5">
        <v>48.7</v>
      </c>
      <c r="H10" s="5">
        <v>32.6</v>
      </c>
      <c r="I10" s="5">
        <v>119.4</v>
      </c>
      <c r="J10" s="5">
        <v>33.1</v>
      </c>
      <c r="K10" s="6" t="s">
        <v>18</v>
      </c>
      <c r="L10" s="5" t="s">
        <v>37</v>
      </c>
    </row>
    <row r="11" spans="1:12" x14ac:dyDescent="0.25">
      <c r="A11" s="4" t="s">
        <v>11</v>
      </c>
      <c r="B11" s="5">
        <v>2023</v>
      </c>
      <c r="C11" s="5" t="s">
        <v>24</v>
      </c>
      <c r="D11" s="5">
        <v>23346</v>
      </c>
      <c r="E11" s="5">
        <v>222</v>
      </c>
      <c r="F11" s="5">
        <v>165.1</v>
      </c>
      <c r="G11" s="5">
        <v>35.5</v>
      </c>
      <c r="H11" s="5">
        <v>21.4</v>
      </c>
      <c r="I11" s="5">
        <v>34.200000000000003</v>
      </c>
      <c r="J11" s="5">
        <v>28.1</v>
      </c>
      <c r="K11" s="6" t="s">
        <v>13</v>
      </c>
      <c r="L11" s="5" t="s">
        <v>36</v>
      </c>
    </row>
    <row r="12" spans="1:12" x14ac:dyDescent="0.25">
      <c r="A12" s="4" t="s">
        <v>11</v>
      </c>
      <c r="B12" s="5">
        <v>2023</v>
      </c>
      <c r="C12" s="5" t="s">
        <v>25</v>
      </c>
      <c r="D12" s="5">
        <v>51577</v>
      </c>
      <c r="E12" s="5">
        <v>198.6</v>
      </c>
      <c r="F12" s="5">
        <v>152.4</v>
      </c>
      <c r="G12" s="5">
        <v>29</v>
      </c>
      <c r="H12" s="5">
        <v>17.2</v>
      </c>
      <c r="I12" s="5">
        <v>11.9</v>
      </c>
      <c r="J12" s="5">
        <v>26.2</v>
      </c>
      <c r="K12" s="6" t="s">
        <v>13</v>
      </c>
      <c r="L12" s="5" t="s">
        <v>36</v>
      </c>
    </row>
    <row r="13" spans="1:12" x14ac:dyDescent="0.25">
      <c r="A13" s="4" t="s">
        <v>11</v>
      </c>
      <c r="B13" s="5">
        <v>2023</v>
      </c>
      <c r="C13" s="5" t="s">
        <v>26</v>
      </c>
      <c r="D13" s="5">
        <v>61721</v>
      </c>
      <c r="E13" s="5">
        <v>182.1</v>
      </c>
      <c r="F13" s="5">
        <v>139.9</v>
      </c>
      <c r="G13" s="5">
        <v>24.3</v>
      </c>
      <c r="H13" s="5">
        <v>17.899999999999999</v>
      </c>
      <c r="I13" s="5">
        <v>9.3000000000000007</v>
      </c>
      <c r="J13" s="5">
        <v>21</v>
      </c>
      <c r="K13" s="6" t="s">
        <v>13</v>
      </c>
      <c r="L13" s="5" t="s">
        <v>36</v>
      </c>
    </row>
    <row r="14" spans="1:12" x14ac:dyDescent="0.25">
      <c r="A14" s="4" t="s">
        <v>11</v>
      </c>
      <c r="B14" s="5">
        <v>2024</v>
      </c>
      <c r="C14" s="5" t="s">
        <v>12</v>
      </c>
      <c r="D14" s="5">
        <v>31843</v>
      </c>
      <c r="E14" s="5">
        <v>180.1</v>
      </c>
      <c r="F14" s="5">
        <v>127.5</v>
      </c>
      <c r="G14" s="5">
        <v>29.9</v>
      </c>
      <c r="H14" s="5">
        <v>22.7</v>
      </c>
      <c r="I14" s="5">
        <v>3.8</v>
      </c>
      <c r="J14" s="5">
        <v>22.7</v>
      </c>
      <c r="K14" s="6" t="s">
        <v>13</v>
      </c>
      <c r="L14" s="5" t="s">
        <v>36</v>
      </c>
    </row>
    <row r="15" spans="1:12" x14ac:dyDescent="0.25">
      <c r="A15" s="4" t="s">
        <v>11</v>
      </c>
      <c r="B15" s="5">
        <v>2024</v>
      </c>
      <c r="C15" s="5" t="s">
        <v>14</v>
      </c>
      <c r="D15" s="5">
        <v>46223</v>
      </c>
      <c r="E15" s="5">
        <v>191.9</v>
      </c>
      <c r="F15" s="5">
        <v>147.1</v>
      </c>
      <c r="G15" s="5">
        <v>27.4</v>
      </c>
      <c r="H15" s="5">
        <v>17.399999999999999</v>
      </c>
      <c r="I15" s="5">
        <v>4.5999999999999996</v>
      </c>
      <c r="J15" s="5">
        <v>23.3</v>
      </c>
      <c r="K15" s="6" t="s">
        <v>13</v>
      </c>
      <c r="L15" s="5" t="s">
        <v>36</v>
      </c>
    </row>
    <row r="16" spans="1:12" x14ac:dyDescent="0.25">
      <c r="A16" s="4" t="s">
        <v>11</v>
      </c>
      <c r="B16" s="5">
        <v>2024</v>
      </c>
      <c r="C16" s="5" t="s">
        <v>15</v>
      </c>
      <c r="D16" s="5">
        <v>41210</v>
      </c>
      <c r="E16" s="5">
        <v>219.2</v>
      </c>
      <c r="F16" s="5">
        <v>163.1</v>
      </c>
      <c r="G16" s="5">
        <v>37.6</v>
      </c>
      <c r="H16" s="5">
        <v>18.5</v>
      </c>
      <c r="I16" s="5">
        <v>13.9</v>
      </c>
      <c r="J16" s="5">
        <v>29.1</v>
      </c>
      <c r="K16" s="6" t="s">
        <v>13</v>
      </c>
      <c r="L16" s="5" t="s">
        <v>39</v>
      </c>
    </row>
    <row r="17" spans="1:12" x14ac:dyDescent="0.25">
      <c r="A17" s="4" t="s">
        <v>11</v>
      </c>
      <c r="B17" s="5">
        <v>2024</v>
      </c>
      <c r="C17" s="5" t="s">
        <v>16</v>
      </c>
      <c r="D17" s="5">
        <v>38516</v>
      </c>
      <c r="E17" s="5">
        <v>242.9</v>
      </c>
      <c r="F17" s="5">
        <v>177.6</v>
      </c>
      <c r="G17" s="5">
        <v>37.5</v>
      </c>
      <c r="H17" s="5">
        <v>27.8</v>
      </c>
      <c r="I17" s="5">
        <v>15.4</v>
      </c>
      <c r="J17" s="5">
        <v>31.5</v>
      </c>
      <c r="K17" s="6" t="s">
        <v>13</v>
      </c>
      <c r="L17" s="5" t="s">
        <v>38</v>
      </c>
    </row>
    <row r="18" spans="1:12" x14ac:dyDescent="0.25">
      <c r="A18" s="4" t="s">
        <v>11</v>
      </c>
      <c r="B18" s="5">
        <v>2024</v>
      </c>
      <c r="C18" s="5" t="s">
        <v>17</v>
      </c>
      <c r="D18" s="5">
        <v>19366</v>
      </c>
      <c r="E18" s="5">
        <v>254.8</v>
      </c>
      <c r="F18" s="5">
        <v>186.4</v>
      </c>
      <c r="G18" s="5">
        <v>33.200000000000003</v>
      </c>
      <c r="H18" s="5">
        <v>35.200000000000003</v>
      </c>
      <c r="I18" s="5">
        <v>38.5</v>
      </c>
      <c r="J18" s="5">
        <v>36.5</v>
      </c>
      <c r="K18" s="6" t="s">
        <v>18</v>
      </c>
      <c r="L18" s="5" t="s">
        <v>38</v>
      </c>
    </row>
    <row r="19" spans="1:12" x14ac:dyDescent="0.25">
      <c r="A19" s="4" t="s">
        <v>11</v>
      </c>
      <c r="B19" s="5">
        <v>2024</v>
      </c>
      <c r="C19" s="5" t="s">
        <v>19</v>
      </c>
      <c r="D19" s="5">
        <v>41714</v>
      </c>
      <c r="E19" s="5">
        <v>311.8</v>
      </c>
      <c r="F19" s="5">
        <v>232</v>
      </c>
      <c r="G19" s="5">
        <v>53.2</v>
      </c>
      <c r="H19" s="5">
        <v>26.6</v>
      </c>
      <c r="I19" s="5">
        <v>95.6</v>
      </c>
      <c r="J19" s="5">
        <v>40</v>
      </c>
      <c r="K19" s="6" t="s">
        <v>21</v>
      </c>
      <c r="L19" s="5" t="s">
        <v>38</v>
      </c>
    </row>
    <row r="20" spans="1:12" x14ac:dyDescent="0.25">
      <c r="A20" s="4" t="s">
        <v>11</v>
      </c>
      <c r="B20" s="5">
        <v>2024</v>
      </c>
      <c r="C20" s="5" t="s">
        <v>20</v>
      </c>
      <c r="D20" s="5">
        <v>43936</v>
      </c>
      <c r="E20" s="5">
        <v>324.60000000000002</v>
      </c>
      <c r="F20" s="5">
        <v>228.2</v>
      </c>
      <c r="G20" s="5">
        <v>53.5</v>
      </c>
      <c r="H20" s="5">
        <v>42.9</v>
      </c>
      <c r="I20" s="5">
        <v>168.1</v>
      </c>
      <c r="J20" s="5">
        <v>37.6</v>
      </c>
      <c r="K20" s="6" t="s">
        <v>21</v>
      </c>
      <c r="L20" s="5" t="s">
        <v>37</v>
      </c>
    </row>
    <row r="21" spans="1:12" x14ac:dyDescent="0.25">
      <c r="A21" s="4" t="s">
        <v>11</v>
      </c>
      <c r="B21" s="5">
        <v>2024</v>
      </c>
      <c r="C21" s="5" t="s">
        <v>22</v>
      </c>
      <c r="D21" s="5">
        <v>59499</v>
      </c>
      <c r="E21" s="5">
        <v>306.60000000000002</v>
      </c>
      <c r="F21" s="5">
        <v>233.8</v>
      </c>
      <c r="G21" s="5">
        <v>46.2</v>
      </c>
      <c r="H21" s="5">
        <v>26.6</v>
      </c>
      <c r="I21" s="5">
        <v>152.69999999999999</v>
      </c>
      <c r="J21" s="5">
        <v>32.200000000000003</v>
      </c>
      <c r="K21" s="6" t="s">
        <v>21</v>
      </c>
      <c r="L21" s="5" t="s">
        <v>37</v>
      </c>
    </row>
    <row r="22" spans="1:12" x14ac:dyDescent="0.25">
      <c r="A22" s="4" t="s">
        <v>11</v>
      </c>
      <c r="B22" s="5">
        <v>2024</v>
      </c>
      <c r="C22" s="5" t="s">
        <v>23</v>
      </c>
      <c r="D22" s="5">
        <v>60299</v>
      </c>
      <c r="E22" s="5">
        <v>281.5</v>
      </c>
      <c r="F22" s="5">
        <v>207.4</v>
      </c>
      <c r="G22" s="5">
        <v>37.799999999999997</v>
      </c>
      <c r="H22" s="5">
        <v>36.299999999999997</v>
      </c>
      <c r="I22" s="5">
        <v>114</v>
      </c>
      <c r="J22" s="5">
        <v>31.8</v>
      </c>
      <c r="K22" s="6" t="s">
        <v>18</v>
      </c>
      <c r="L22" s="5" t="s">
        <v>37</v>
      </c>
    </row>
    <row r="23" spans="1:12" x14ac:dyDescent="0.25">
      <c r="A23" s="4" t="s">
        <v>11</v>
      </c>
      <c r="B23" s="5">
        <v>2024</v>
      </c>
      <c r="C23" s="5" t="s">
        <v>24</v>
      </c>
      <c r="D23" s="5">
        <v>60959</v>
      </c>
      <c r="E23" s="5">
        <v>235.3</v>
      </c>
      <c r="F23" s="5">
        <v>173.7</v>
      </c>
      <c r="G23" s="5">
        <v>41.7</v>
      </c>
      <c r="H23" s="5">
        <v>19.899999999999999</v>
      </c>
      <c r="I23" s="5">
        <v>37.299999999999997</v>
      </c>
      <c r="J23" s="5">
        <v>26.8</v>
      </c>
      <c r="K23" s="6" t="s">
        <v>13</v>
      </c>
      <c r="L23" s="5" t="s">
        <v>36</v>
      </c>
    </row>
    <row r="24" spans="1:12" x14ac:dyDescent="0.25">
      <c r="A24" s="4" t="s">
        <v>11</v>
      </c>
      <c r="B24" s="5">
        <v>2024</v>
      </c>
      <c r="C24" s="5" t="s">
        <v>25</v>
      </c>
      <c r="D24" s="5">
        <v>55976</v>
      </c>
      <c r="E24" s="5">
        <v>205.5</v>
      </c>
      <c r="F24" s="5">
        <v>147.4</v>
      </c>
      <c r="G24" s="5">
        <v>36.1</v>
      </c>
      <c r="H24" s="5">
        <v>22</v>
      </c>
      <c r="I24" s="5">
        <v>1.9</v>
      </c>
      <c r="J24" s="5">
        <v>23.2</v>
      </c>
      <c r="K24" s="6" t="s">
        <v>13</v>
      </c>
      <c r="L24" s="5" t="s">
        <v>36</v>
      </c>
    </row>
    <row r="25" spans="1:12" x14ac:dyDescent="0.25">
      <c r="A25" s="4" t="s">
        <v>11</v>
      </c>
      <c r="B25" s="5">
        <v>2024</v>
      </c>
      <c r="C25" s="5" t="s">
        <v>26</v>
      </c>
      <c r="D25" s="5">
        <v>59105</v>
      </c>
      <c r="E25" s="5">
        <v>185.4</v>
      </c>
      <c r="F25" s="5">
        <v>140</v>
      </c>
      <c r="G25" s="5">
        <v>27.1</v>
      </c>
      <c r="H25" s="5">
        <v>18.3</v>
      </c>
      <c r="I25" s="5">
        <v>0</v>
      </c>
      <c r="J25" s="5">
        <v>21.4</v>
      </c>
      <c r="K25" s="6" t="s">
        <v>13</v>
      </c>
      <c r="L25" s="5" t="s">
        <v>36</v>
      </c>
    </row>
    <row r="26" spans="1:12" x14ac:dyDescent="0.25">
      <c r="A26" s="4" t="s">
        <v>27</v>
      </c>
      <c r="B26" s="5">
        <v>2023</v>
      </c>
      <c r="C26" s="5" t="s">
        <v>12</v>
      </c>
      <c r="D26" s="5">
        <v>19639</v>
      </c>
      <c r="E26" s="5">
        <v>245.1</v>
      </c>
      <c r="F26" s="5">
        <v>181.6</v>
      </c>
      <c r="G26" s="5">
        <v>33</v>
      </c>
      <c r="H26" s="5">
        <v>30.5</v>
      </c>
      <c r="I26" s="5">
        <v>8</v>
      </c>
      <c r="J26" s="5">
        <v>22.5</v>
      </c>
      <c r="K26" s="6" t="s">
        <v>13</v>
      </c>
      <c r="L26" s="5" t="s">
        <v>36</v>
      </c>
    </row>
    <row r="27" spans="1:12" x14ac:dyDescent="0.25">
      <c r="A27" s="4" t="s">
        <v>27</v>
      </c>
      <c r="B27" s="5">
        <v>2023</v>
      </c>
      <c r="C27" s="5" t="s">
        <v>14</v>
      </c>
      <c r="D27" s="5">
        <v>53741</v>
      </c>
      <c r="E27" s="5">
        <v>253.8</v>
      </c>
      <c r="F27" s="5">
        <v>195.3</v>
      </c>
      <c r="G27" s="5">
        <v>36.9</v>
      </c>
      <c r="H27" s="5">
        <v>21.6</v>
      </c>
      <c r="I27" s="5">
        <v>14.9</v>
      </c>
      <c r="J27" s="5">
        <v>25.2</v>
      </c>
      <c r="K27" s="6" t="s">
        <v>18</v>
      </c>
      <c r="L27" s="5" t="s">
        <v>36</v>
      </c>
    </row>
    <row r="28" spans="1:12" x14ac:dyDescent="0.25">
      <c r="A28" s="4" t="s">
        <v>27</v>
      </c>
      <c r="B28" s="5">
        <v>2023</v>
      </c>
      <c r="C28" s="5" t="s">
        <v>15</v>
      </c>
      <c r="D28" s="5">
        <v>19739</v>
      </c>
      <c r="E28" s="5">
        <v>272.89999999999998</v>
      </c>
      <c r="F28" s="5">
        <v>197.4</v>
      </c>
      <c r="G28" s="5">
        <v>44.5</v>
      </c>
      <c r="H28" s="5">
        <v>31</v>
      </c>
      <c r="I28" s="5">
        <v>8.9</v>
      </c>
      <c r="J28" s="5">
        <v>27.5</v>
      </c>
      <c r="K28" s="6" t="s">
        <v>18</v>
      </c>
      <c r="L28" s="5" t="s">
        <v>39</v>
      </c>
    </row>
    <row r="29" spans="1:12" x14ac:dyDescent="0.25">
      <c r="A29" s="4" t="s">
        <v>27</v>
      </c>
      <c r="B29" s="5">
        <v>2023</v>
      </c>
      <c r="C29" s="5" t="s">
        <v>16</v>
      </c>
      <c r="D29" s="5">
        <v>36231</v>
      </c>
      <c r="E29" s="5">
        <v>299.5</v>
      </c>
      <c r="F29" s="5">
        <v>224.9</v>
      </c>
      <c r="G29" s="5">
        <v>36.1</v>
      </c>
      <c r="H29" s="5">
        <v>38.5</v>
      </c>
      <c r="I29" s="5">
        <v>23.3</v>
      </c>
      <c r="J29" s="5">
        <v>30.8</v>
      </c>
      <c r="K29" s="6" t="s">
        <v>18</v>
      </c>
      <c r="L29" s="5" t="s">
        <v>38</v>
      </c>
    </row>
    <row r="30" spans="1:12" x14ac:dyDescent="0.25">
      <c r="A30" s="4" t="s">
        <v>27</v>
      </c>
      <c r="B30" s="5">
        <v>2023</v>
      </c>
      <c r="C30" s="5" t="s">
        <v>17</v>
      </c>
      <c r="D30" s="5">
        <v>28189</v>
      </c>
      <c r="E30" s="5">
        <v>337.2</v>
      </c>
      <c r="F30" s="5">
        <v>250</v>
      </c>
      <c r="G30" s="5">
        <v>55.9</v>
      </c>
      <c r="H30" s="5">
        <v>31.3</v>
      </c>
      <c r="I30" s="5">
        <v>35.799999999999997</v>
      </c>
      <c r="J30" s="5">
        <v>37.9</v>
      </c>
      <c r="K30" s="6" t="s">
        <v>21</v>
      </c>
      <c r="L30" s="5" t="s">
        <v>38</v>
      </c>
    </row>
    <row r="31" spans="1:12" x14ac:dyDescent="0.25">
      <c r="A31" s="4" t="s">
        <v>27</v>
      </c>
      <c r="B31" s="5">
        <v>2023</v>
      </c>
      <c r="C31" s="5" t="s">
        <v>19</v>
      </c>
      <c r="D31" s="5">
        <v>40541</v>
      </c>
      <c r="E31" s="5">
        <v>393.4</v>
      </c>
      <c r="F31" s="5">
        <v>281.39999999999998</v>
      </c>
      <c r="G31" s="5">
        <v>66.3</v>
      </c>
      <c r="H31" s="5">
        <v>45.7</v>
      </c>
      <c r="I31" s="5">
        <v>93.4</v>
      </c>
      <c r="J31" s="5">
        <v>36.200000000000003</v>
      </c>
      <c r="K31" s="6" t="s">
        <v>21</v>
      </c>
      <c r="L31" s="5" t="s">
        <v>38</v>
      </c>
    </row>
    <row r="32" spans="1:12" x14ac:dyDescent="0.25">
      <c r="A32" s="4" t="s">
        <v>27</v>
      </c>
      <c r="B32" s="5">
        <v>2023</v>
      </c>
      <c r="C32" s="5" t="s">
        <v>20</v>
      </c>
      <c r="D32" s="5">
        <v>42807</v>
      </c>
      <c r="E32" s="5">
        <v>429.9</v>
      </c>
      <c r="F32" s="5">
        <v>334.3</v>
      </c>
      <c r="G32" s="5">
        <v>59.2</v>
      </c>
      <c r="H32" s="5">
        <v>36.4</v>
      </c>
      <c r="I32" s="5">
        <v>150.6</v>
      </c>
      <c r="J32" s="5">
        <v>32.700000000000003</v>
      </c>
      <c r="K32" s="6" t="s">
        <v>21</v>
      </c>
      <c r="L32" s="5" t="s">
        <v>37</v>
      </c>
    </row>
    <row r="33" spans="1:12" x14ac:dyDescent="0.25">
      <c r="A33" s="4" t="s">
        <v>27</v>
      </c>
      <c r="B33" s="5">
        <v>2023</v>
      </c>
      <c r="C33" s="5" t="s">
        <v>22</v>
      </c>
      <c r="D33" s="5">
        <v>30601</v>
      </c>
      <c r="E33" s="5">
        <v>405.9</v>
      </c>
      <c r="F33" s="5">
        <v>306.5</v>
      </c>
      <c r="G33" s="5">
        <v>49.8</v>
      </c>
      <c r="H33" s="5">
        <v>49.6</v>
      </c>
      <c r="I33" s="5">
        <v>146.1</v>
      </c>
      <c r="J33" s="5">
        <v>34.200000000000003</v>
      </c>
      <c r="K33" s="6" t="s">
        <v>21</v>
      </c>
      <c r="L33" s="5" t="s">
        <v>37</v>
      </c>
    </row>
    <row r="34" spans="1:12" x14ac:dyDescent="0.25">
      <c r="A34" s="4" t="s">
        <v>27</v>
      </c>
      <c r="B34" s="5">
        <v>2023</v>
      </c>
      <c r="C34" s="5" t="s">
        <v>23</v>
      </c>
      <c r="D34" s="5">
        <v>33256</v>
      </c>
      <c r="E34" s="5">
        <v>346.4</v>
      </c>
      <c r="F34" s="5">
        <v>251.2</v>
      </c>
      <c r="G34" s="5">
        <v>49.5</v>
      </c>
      <c r="H34" s="5">
        <v>45.7</v>
      </c>
      <c r="I34" s="5">
        <v>91.9</v>
      </c>
      <c r="J34" s="5">
        <v>31.8</v>
      </c>
      <c r="K34" s="6" t="s">
        <v>21</v>
      </c>
      <c r="L34" s="5" t="s">
        <v>37</v>
      </c>
    </row>
    <row r="35" spans="1:12" x14ac:dyDescent="0.25">
      <c r="A35" s="4" t="s">
        <v>27</v>
      </c>
      <c r="B35" s="5">
        <v>2023</v>
      </c>
      <c r="C35" s="5" t="s">
        <v>24</v>
      </c>
      <c r="D35" s="5">
        <v>41283</v>
      </c>
      <c r="E35" s="5">
        <v>292.60000000000002</v>
      </c>
      <c r="F35" s="5">
        <v>225.7</v>
      </c>
      <c r="G35" s="5">
        <v>39.799999999999997</v>
      </c>
      <c r="H35" s="5">
        <v>27.1</v>
      </c>
      <c r="I35" s="5">
        <v>58.3</v>
      </c>
      <c r="J35" s="5">
        <v>27.2</v>
      </c>
      <c r="K35" s="6" t="s">
        <v>18</v>
      </c>
      <c r="L35" s="5" t="s">
        <v>36</v>
      </c>
    </row>
    <row r="36" spans="1:12" x14ac:dyDescent="0.25">
      <c r="A36" s="4" t="s">
        <v>27</v>
      </c>
      <c r="B36" s="5">
        <v>2023</v>
      </c>
      <c r="C36" s="5" t="s">
        <v>25</v>
      </c>
      <c r="D36" s="5">
        <v>29215</v>
      </c>
      <c r="E36" s="5">
        <v>266.10000000000002</v>
      </c>
      <c r="F36" s="5">
        <v>200.5</v>
      </c>
      <c r="G36" s="5">
        <v>35.799999999999997</v>
      </c>
      <c r="H36" s="5">
        <v>29.8</v>
      </c>
      <c r="I36" s="5">
        <v>7.3</v>
      </c>
      <c r="J36" s="5">
        <v>24.3</v>
      </c>
      <c r="K36" s="6" t="s">
        <v>18</v>
      </c>
      <c r="L36" s="5" t="s">
        <v>36</v>
      </c>
    </row>
    <row r="37" spans="1:12" x14ac:dyDescent="0.25">
      <c r="A37" s="4" t="s">
        <v>27</v>
      </c>
      <c r="B37" s="5">
        <v>2023</v>
      </c>
      <c r="C37" s="5" t="s">
        <v>26</v>
      </c>
      <c r="D37" s="5">
        <v>63099</v>
      </c>
      <c r="E37" s="5">
        <v>245.8</v>
      </c>
      <c r="F37" s="5">
        <v>178.3</v>
      </c>
      <c r="G37" s="5">
        <v>39.6</v>
      </c>
      <c r="H37" s="5">
        <v>27.9</v>
      </c>
      <c r="I37" s="5">
        <v>15.5</v>
      </c>
      <c r="J37" s="5">
        <v>18.8</v>
      </c>
      <c r="K37" s="6" t="s">
        <v>13</v>
      </c>
      <c r="L37" s="5" t="s">
        <v>36</v>
      </c>
    </row>
    <row r="38" spans="1:12" x14ac:dyDescent="0.25">
      <c r="A38" s="4" t="s">
        <v>27</v>
      </c>
      <c r="B38" s="5">
        <v>2024</v>
      </c>
      <c r="C38" s="5" t="s">
        <v>12</v>
      </c>
      <c r="D38" s="5">
        <v>20103</v>
      </c>
      <c r="E38" s="5">
        <v>235.3</v>
      </c>
      <c r="F38" s="5">
        <v>171.2</v>
      </c>
      <c r="G38" s="5">
        <v>33.9</v>
      </c>
      <c r="H38" s="5">
        <v>30.2</v>
      </c>
      <c r="I38" s="5">
        <v>25.2</v>
      </c>
      <c r="J38" s="5">
        <v>23.3</v>
      </c>
      <c r="K38" s="6" t="s">
        <v>13</v>
      </c>
      <c r="L38" s="5" t="s">
        <v>36</v>
      </c>
    </row>
    <row r="39" spans="1:12" x14ac:dyDescent="0.25">
      <c r="A39" s="4" t="s">
        <v>27</v>
      </c>
      <c r="B39" s="5">
        <v>2024</v>
      </c>
      <c r="C39" s="5" t="s">
        <v>14</v>
      </c>
      <c r="D39" s="5">
        <v>38622</v>
      </c>
      <c r="E39" s="5">
        <v>249.6</v>
      </c>
      <c r="F39" s="5">
        <v>189</v>
      </c>
      <c r="G39" s="5">
        <v>37.4</v>
      </c>
      <c r="H39" s="5">
        <v>23.2</v>
      </c>
      <c r="I39" s="5">
        <v>18.7</v>
      </c>
      <c r="J39" s="5">
        <v>23.6</v>
      </c>
      <c r="K39" s="6" t="s">
        <v>13</v>
      </c>
      <c r="L39" s="5" t="s">
        <v>36</v>
      </c>
    </row>
    <row r="40" spans="1:12" x14ac:dyDescent="0.25">
      <c r="A40" s="4" t="s">
        <v>27</v>
      </c>
      <c r="B40" s="5">
        <v>2024</v>
      </c>
      <c r="C40" s="5" t="s">
        <v>15</v>
      </c>
      <c r="D40" s="5">
        <v>27150</v>
      </c>
      <c r="E40" s="5">
        <v>264.2</v>
      </c>
      <c r="F40" s="5">
        <v>198.6</v>
      </c>
      <c r="G40" s="5">
        <v>40.6</v>
      </c>
      <c r="H40" s="5">
        <v>25</v>
      </c>
      <c r="I40" s="5">
        <v>10.9</v>
      </c>
      <c r="J40" s="5">
        <v>31</v>
      </c>
      <c r="K40" s="6" t="s">
        <v>18</v>
      </c>
      <c r="L40" s="5" t="s">
        <v>39</v>
      </c>
    </row>
    <row r="41" spans="1:12" x14ac:dyDescent="0.25">
      <c r="A41" s="4" t="s">
        <v>27</v>
      </c>
      <c r="B41" s="5">
        <v>2024</v>
      </c>
      <c r="C41" s="5" t="s">
        <v>16</v>
      </c>
      <c r="D41" s="5">
        <v>44175</v>
      </c>
      <c r="E41" s="5">
        <v>310.2</v>
      </c>
      <c r="F41" s="5">
        <v>222.8</v>
      </c>
      <c r="G41" s="5">
        <v>55.8</v>
      </c>
      <c r="H41" s="5">
        <v>31.6</v>
      </c>
      <c r="I41" s="5">
        <v>25.5</v>
      </c>
      <c r="J41" s="5">
        <v>34.299999999999997</v>
      </c>
      <c r="K41" s="6" t="s">
        <v>21</v>
      </c>
      <c r="L41" s="5" t="s">
        <v>38</v>
      </c>
    </row>
    <row r="42" spans="1:12" x14ac:dyDescent="0.25">
      <c r="A42" s="4" t="s">
        <v>27</v>
      </c>
      <c r="B42" s="5">
        <v>2024</v>
      </c>
      <c r="C42" s="5" t="s">
        <v>17</v>
      </c>
      <c r="D42" s="5">
        <v>25185</v>
      </c>
      <c r="E42" s="5">
        <v>347.1</v>
      </c>
      <c r="F42" s="5">
        <v>271.10000000000002</v>
      </c>
      <c r="G42" s="5">
        <v>45</v>
      </c>
      <c r="H42" s="5">
        <v>31</v>
      </c>
      <c r="I42" s="5">
        <v>22.3</v>
      </c>
      <c r="J42" s="5">
        <v>35.200000000000003</v>
      </c>
      <c r="K42" s="6" t="s">
        <v>21</v>
      </c>
      <c r="L42" s="5" t="s">
        <v>38</v>
      </c>
    </row>
    <row r="43" spans="1:12" x14ac:dyDescent="0.25">
      <c r="A43" s="4" t="s">
        <v>27</v>
      </c>
      <c r="B43" s="5">
        <v>2024</v>
      </c>
      <c r="C43" s="5" t="s">
        <v>19</v>
      </c>
      <c r="D43" s="5">
        <v>57052</v>
      </c>
      <c r="E43" s="5">
        <v>394</v>
      </c>
      <c r="F43" s="5">
        <v>279.10000000000002</v>
      </c>
      <c r="G43" s="5">
        <v>59.8</v>
      </c>
      <c r="H43" s="5">
        <v>55.1</v>
      </c>
      <c r="I43" s="5">
        <v>114.5</v>
      </c>
      <c r="J43" s="5">
        <v>37.5</v>
      </c>
      <c r="K43" s="6" t="s">
        <v>21</v>
      </c>
      <c r="L43" s="5" t="s">
        <v>38</v>
      </c>
    </row>
    <row r="44" spans="1:12" x14ac:dyDescent="0.25">
      <c r="A44" s="4" t="s">
        <v>27</v>
      </c>
      <c r="B44" s="5">
        <v>2024</v>
      </c>
      <c r="C44" s="5" t="s">
        <v>20</v>
      </c>
      <c r="D44" s="5">
        <v>25507</v>
      </c>
      <c r="E44" s="5">
        <v>406.8</v>
      </c>
      <c r="F44" s="5">
        <v>295.7</v>
      </c>
      <c r="G44" s="5">
        <v>61.9</v>
      </c>
      <c r="H44" s="5">
        <v>49.2</v>
      </c>
      <c r="I44" s="5">
        <v>163.5</v>
      </c>
      <c r="J44" s="5">
        <v>37.1</v>
      </c>
      <c r="K44" s="6" t="s">
        <v>21</v>
      </c>
      <c r="L44" s="5" t="s">
        <v>37</v>
      </c>
    </row>
    <row r="45" spans="1:12" x14ac:dyDescent="0.25">
      <c r="A45" s="4" t="s">
        <v>27</v>
      </c>
      <c r="B45" s="5">
        <v>2024</v>
      </c>
      <c r="C45" s="5" t="s">
        <v>22</v>
      </c>
      <c r="D45" s="5">
        <v>46492</v>
      </c>
      <c r="E45" s="5">
        <v>399.9</v>
      </c>
      <c r="F45" s="5">
        <v>316</v>
      </c>
      <c r="G45" s="5">
        <v>48.1</v>
      </c>
      <c r="H45" s="5">
        <v>35.799999999999997</v>
      </c>
      <c r="I45" s="5">
        <v>142.19999999999999</v>
      </c>
      <c r="J45" s="5">
        <v>30.6</v>
      </c>
      <c r="K45" s="6" t="s">
        <v>21</v>
      </c>
      <c r="L45" s="5" t="s">
        <v>37</v>
      </c>
    </row>
    <row r="46" spans="1:12" x14ac:dyDescent="0.25">
      <c r="A46" s="4" t="s">
        <v>27</v>
      </c>
      <c r="B46" s="5">
        <v>2024</v>
      </c>
      <c r="C46" s="5" t="s">
        <v>23</v>
      </c>
      <c r="D46" s="5">
        <v>29708</v>
      </c>
      <c r="E46" s="5">
        <v>367.8</v>
      </c>
      <c r="F46" s="5">
        <v>280.7</v>
      </c>
      <c r="G46" s="5">
        <v>46.5</v>
      </c>
      <c r="H46" s="5">
        <v>40.6</v>
      </c>
      <c r="I46" s="5">
        <v>96.4</v>
      </c>
      <c r="J46" s="5">
        <v>29</v>
      </c>
      <c r="K46" s="6" t="s">
        <v>21</v>
      </c>
      <c r="L46" s="5" t="s">
        <v>37</v>
      </c>
    </row>
    <row r="47" spans="1:12" x14ac:dyDescent="0.25">
      <c r="A47" s="4" t="s">
        <v>27</v>
      </c>
      <c r="B47" s="5">
        <v>2024</v>
      </c>
      <c r="C47" s="5" t="s">
        <v>24</v>
      </c>
      <c r="D47" s="5">
        <v>31035</v>
      </c>
      <c r="E47" s="5">
        <v>300.89999999999998</v>
      </c>
      <c r="F47" s="5">
        <v>224.2</v>
      </c>
      <c r="G47" s="5">
        <v>49.9</v>
      </c>
      <c r="H47" s="5">
        <v>26.8</v>
      </c>
      <c r="I47" s="5">
        <v>28.2</v>
      </c>
      <c r="J47" s="5">
        <v>27.4</v>
      </c>
      <c r="K47" s="6" t="s">
        <v>21</v>
      </c>
      <c r="L47" s="5" t="s">
        <v>36</v>
      </c>
    </row>
    <row r="48" spans="1:12" x14ac:dyDescent="0.25">
      <c r="A48" s="4" t="s">
        <v>27</v>
      </c>
      <c r="B48" s="5">
        <v>2024</v>
      </c>
      <c r="C48" s="5" t="s">
        <v>25</v>
      </c>
      <c r="D48" s="5">
        <v>18037</v>
      </c>
      <c r="E48" s="5">
        <v>264.2</v>
      </c>
      <c r="F48" s="5">
        <v>194.2</v>
      </c>
      <c r="G48" s="5">
        <v>39.4</v>
      </c>
      <c r="H48" s="5">
        <v>30.6</v>
      </c>
      <c r="I48" s="5">
        <v>22.2</v>
      </c>
      <c r="J48" s="5">
        <v>24.9</v>
      </c>
      <c r="K48" s="6" t="s">
        <v>18</v>
      </c>
      <c r="L48" s="5" t="s">
        <v>36</v>
      </c>
    </row>
    <row r="49" spans="1:12" x14ac:dyDescent="0.25">
      <c r="A49" s="4" t="s">
        <v>27</v>
      </c>
      <c r="B49" s="5">
        <v>2024</v>
      </c>
      <c r="C49" s="5" t="s">
        <v>26</v>
      </c>
      <c r="D49" s="5">
        <v>38153</v>
      </c>
      <c r="E49" s="5">
        <v>247.2</v>
      </c>
      <c r="F49" s="5">
        <v>190.7</v>
      </c>
      <c r="G49" s="5">
        <v>33.200000000000003</v>
      </c>
      <c r="H49" s="5">
        <v>23.3</v>
      </c>
      <c r="I49" s="5">
        <v>2.2999999999999998</v>
      </c>
      <c r="J49" s="5">
        <v>20.8</v>
      </c>
      <c r="K49" s="6" t="s">
        <v>13</v>
      </c>
      <c r="L49" s="5" t="s">
        <v>36</v>
      </c>
    </row>
    <row r="50" spans="1:12" x14ac:dyDescent="0.25">
      <c r="A50" s="4" t="s">
        <v>28</v>
      </c>
      <c r="B50" s="5">
        <v>2023</v>
      </c>
      <c r="C50" s="5" t="s">
        <v>12</v>
      </c>
      <c r="D50" s="5">
        <v>58602</v>
      </c>
      <c r="E50" s="5">
        <v>221.6</v>
      </c>
      <c r="F50" s="5">
        <v>158</v>
      </c>
      <c r="G50" s="5">
        <v>34.1</v>
      </c>
      <c r="H50" s="5">
        <v>29.5</v>
      </c>
      <c r="I50" s="5">
        <v>11.1</v>
      </c>
      <c r="J50" s="5">
        <v>21.5</v>
      </c>
      <c r="K50" s="6" t="s">
        <v>13</v>
      </c>
      <c r="L50" s="5" t="s">
        <v>36</v>
      </c>
    </row>
    <row r="51" spans="1:12" x14ac:dyDescent="0.25">
      <c r="A51" s="4" t="s">
        <v>28</v>
      </c>
      <c r="B51" s="5">
        <v>2023</v>
      </c>
      <c r="C51" s="5" t="s">
        <v>14</v>
      </c>
      <c r="D51" s="5">
        <v>48426</v>
      </c>
      <c r="E51" s="5">
        <v>217.5</v>
      </c>
      <c r="F51" s="5">
        <v>158.19999999999999</v>
      </c>
      <c r="G51" s="5">
        <v>30</v>
      </c>
      <c r="H51" s="5">
        <v>29.3</v>
      </c>
      <c r="I51" s="5">
        <v>3.4</v>
      </c>
      <c r="J51" s="5">
        <v>25.4</v>
      </c>
      <c r="K51" s="6" t="s">
        <v>13</v>
      </c>
      <c r="L51" s="5" t="s">
        <v>36</v>
      </c>
    </row>
    <row r="52" spans="1:12" x14ac:dyDescent="0.25">
      <c r="A52" s="4" t="s">
        <v>28</v>
      </c>
      <c r="B52" s="5">
        <v>2023</v>
      </c>
      <c r="C52" s="5" t="s">
        <v>15</v>
      </c>
      <c r="D52" s="5">
        <v>37946</v>
      </c>
      <c r="E52" s="5">
        <v>261.5</v>
      </c>
      <c r="F52" s="5">
        <v>191.8</v>
      </c>
      <c r="G52" s="5">
        <v>33.200000000000003</v>
      </c>
      <c r="H52" s="5">
        <v>36.5</v>
      </c>
      <c r="I52" s="5">
        <v>13.2</v>
      </c>
      <c r="J52" s="5">
        <v>30.9</v>
      </c>
      <c r="K52" s="6" t="s">
        <v>18</v>
      </c>
      <c r="L52" s="5" t="s">
        <v>39</v>
      </c>
    </row>
    <row r="53" spans="1:12" x14ac:dyDescent="0.25">
      <c r="A53" s="4" t="s">
        <v>28</v>
      </c>
      <c r="B53" s="5">
        <v>2023</v>
      </c>
      <c r="C53" s="5" t="s">
        <v>16</v>
      </c>
      <c r="D53" s="5">
        <v>42314</v>
      </c>
      <c r="E53" s="5">
        <v>273.8</v>
      </c>
      <c r="F53" s="5">
        <v>195.8</v>
      </c>
      <c r="G53" s="5">
        <v>45.1</v>
      </c>
      <c r="H53" s="5">
        <v>32.9</v>
      </c>
      <c r="I53" s="5">
        <v>27.8</v>
      </c>
      <c r="J53" s="5">
        <v>32.5</v>
      </c>
      <c r="K53" s="6" t="s">
        <v>18</v>
      </c>
      <c r="L53" s="5" t="s">
        <v>38</v>
      </c>
    </row>
    <row r="54" spans="1:12" x14ac:dyDescent="0.25">
      <c r="A54" s="4" t="s">
        <v>28</v>
      </c>
      <c r="B54" s="5">
        <v>2023</v>
      </c>
      <c r="C54" s="5" t="s">
        <v>17</v>
      </c>
      <c r="D54" s="5">
        <v>28126</v>
      </c>
      <c r="E54" s="5">
        <v>319.3</v>
      </c>
      <c r="F54" s="5">
        <v>225.9</v>
      </c>
      <c r="G54" s="5">
        <v>50.9</v>
      </c>
      <c r="H54" s="5">
        <v>42.5</v>
      </c>
      <c r="I54" s="5">
        <v>34.9</v>
      </c>
      <c r="J54" s="5">
        <v>35.200000000000003</v>
      </c>
      <c r="K54" s="6" t="s">
        <v>21</v>
      </c>
      <c r="L54" s="5" t="s">
        <v>38</v>
      </c>
    </row>
    <row r="55" spans="1:12" x14ac:dyDescent="0.25">
      <c r="A55" s="4" t="s">
        <v>28</v>
      </c>
      <c r="B55" s="5">
        <v>2023</v>
      </c>
      <c r="C55" s="5" t="s">
        <v>19</v>
      </c>
      <c r="D55" s="5">
        <v>36333</v>
      </c>
      <c r="E55" s="5">
        <v>375.3</v>
      </c>
      <c r="F55" s="5">
        <v>291.10000000000002</v>
      </c>
      <c r="G55" s="5">
        <v>53.4</v>
      </c>
      <c r="H55" s="5">
        <v>30.8</v>
      </c>
      <c r="I55" s="5">
        <v>72</v>
      </c>
      <c r="J55" s="5">
        <v>39.299999999999997</v>
      </c>
      <c r="K55" s="6" t="s">
        <v>21</v>
      </c>
      <c r="L55" s="5" t="s">
        <v>38</v>
      </c>
    </row>
    <row r="56" spans="1:12" x14ac:dyDescent="0.25">
      <c r="A56" s="4" t="s">
        <v>28</v>
      </c>
      <c r="B56" s="5">
        <v>2023</v>
      </c>
      <c r="C56" s="5" t="s">
        <v>20</v>
      </c>
      <c r="D56" s="5">
        <v>24511</v>
      </c>
      <c r="E56" s="5">
        <v>393.3</v>
      </c>
      <c r="F56" s="5">
        <v>282.8</v>
      </c>
      <c r="G56" s="5">
        <v>55.9</v>
      </c>
      <c r="H56" s="5">
        <v>54.6</v>
      </c>
      <c r="I56" s="5">
        <v>176.7</v>
      </c>
      <c r="J56" s="5">
        <v>33.799999999999997</v>
      </c>
      <c r="K56" s="6" t="s">
        <v>21</v>
      </c>
      <c r="L56" s="5" t="s">
        <v>37</v>
      </c>
    </row>
    <row r="57" spans="1:12" x14ac:dyDescent="0.25">
      <c r="A57" s="4" t="s">
        <v>28</v>
      </c>
      <c r="B57" s="5">
        <v>2023</v>
      </c>
      <c r="C57" s="5" t="s">
        <v>22</v>
      </c>
      <c r="D57" s="5">
        <v>36080</v>
      </c>
      <c r="E57" s="5">
        <v>365.7</v>
      </c>
      <c r="F57" s="5">
        <v>285.7</v>
      </c>
      <c r="G57" s="5">
        <v>46.6</v>
      </c>
      <c r="H57" s="5">
        <v>33.4</v>
      </c>
      <c r="I57" s="5">
        <v>151.4</v>
      </c>
      <c r="J57" s="5">
        <v>31.7</v>
      </c>
      <c r="K57" s="6" t="s">
        <v>21</v>
      </c>
      <c r="L57" s="5" t="s">
        <v>37</v>
      </c>
    </row>
    <row r="58" spans="1:12" x14ac:dyDescent="0.25">
      <c r="A58" s="4" t="s">
        <v>28</v>
      </c>
      <c r="B58" s="5">
        <v>2023</v>
      </c>
      <c r="C58" s="5" t="s">
        <v>23</v>
      </c>
      <c r="D58" s="5">
        <v>60054</v>
      </c>
      <c r="E58" s="5">
        <v>331.7</v>
      </c>
      <c r="F58" s="5">
        <v>233.3</v>
      </c>
      <c r="G58" s="5">
        <v>59.1</v>
      </c>
      <c r="H58" s="5">
        <v>39.299999999999997</v>
      </c>
      <c r="I58" s="5">
        <v>118.6</v>
      </c>
      <c r="J58" s="5">
        <v>31.4</v>
      </c>
      <c r="K58" s="6" t="s">
        <v>21</v>
      </c>
      <c r="L58" s="5" t="s">
        <v>37</v>
      </c>
    </row>
    <row r="59" spans="1:12" x14ac:dyDescent="0.25">
      <c r="A59" s="4" t="s">
        <v>28</v>
      </c>
      <c r="B59" s="5">
        <v>2023</v>
      </c>
      <c r="C59" s="5" t="s">
        <v>24</v>
      </c>
      <c r="D59" s="5">
        <v>55000</v>
      </c>
      <c r="E59" s="5">
        <v>288.2</v>
      </c>
      <c r="F59" s="5">
        <v>212.7</v>
      </c>
      <c r="G59" s="5">
        <v>48.9</v>
      </c>
      <c r="H59" s="5">
        <v>26.6</v>
      </c>
      <c r="I59" s="5">
        <v>32.5</v>
      </c>
      <c r="J59" s="5">
        <v>27.3</v>
      </c>
      <c r="K59" s="6" t="s">
        <v>18</v>
      </c>
      <c r="L59" s="5" t="s">
        <v>36</v>
      </c>
    </row>
    <row r="60" spans="1:12" x14ac:dyDescent="0.25">
      <c r="A60" s="4" t="s">
        <v>28</v>
      </c>
      <c r="B60" s="5">
        <v>2023</v>
      </c>
      <c r="C60" s="5" t="s">
        <v>25</v>
      </c>
      <c r="D60" s="5">
        <v>33269</v>
      </c>
      <c r="E60" s="5">
        <v>249.8</v>
      </c>
      <c r="F60" s="5">
        <v>192.7</v>
      </c>
      <c r="G60" s="5">
        <v>32.200000000000003</v>
      </c>
      <c r="H60" s="5">
        <v>24.9</v>
      </c>
      <c r="I60" s="5">
        <v>15.6</v>
      </c>
      <c r="J60" s="5">
        <v>23.9</v>
      </c>
      <c r="K60" s="6" t="s">
        <v>13</v>
      </c>
      <c r="L60" s="5" t="s">
        <v>36</v>
      </c>
    </row>
    <row r="61" spans="1:12" x14ac:dyDescent="0.25">
      <c r="A61" s="4" t="s">
        <v>28</v>
      </c>
      <c r="B61" s="5">
        <v>2023</v>
      </c>
      <c r="C61" s="5" t="s">
        <v>26</v>
      </c>
      <c r="D61" s="5">
        <v>27482</v>
      </c>
      <c r="E61" s="5">
        <v>225.2</v>
      </c>
      <c r="F61" s="5">
        <v>159.5</v>
      </c>
      <c r="G61" s="5">
        <v>34.299999999999997</v>
      </c>
      <c r="H61" s="5">
        <v>31.4</v>
      </c>
      <c r="I61" s="5">
        <v>7.4</v>
      </c>
      <c r="J61" s="5">
        <v>20.3</v>
      </c>
      <c r="K61" s="6" t="s">
        <v>13</v>
      </c>
      <c r="L61" s="5" t="s">
        <v>36</v>
      </c>
    </row>
    <row r="62" spans="1:12" x14ac:dyDescent="0.25">
      <c r="A62" s="4" t="s">
        <v>28</v>
      </c>
      <c r="B62" s="5">
        <v>2024</v>
      </c>
      <c r="C62" s="5" t="s">
        <v>12</v>
      </c>
      <c r="D62" s="5">
        <v>26637</v>
      </c>
      <c r="E62" s="5">
        <v>231.1</v>
      </c>
      <c r="F62" s="5">
        <v>173.7</v>
      </c>
      <c r="G62" s="5">
        <v>38.700000000000003</v>
      </c>
      <c r="H62" s="5">
        <v>18.7</v>
      </c>
      <c r="I62" s="5">
        <v>5.7</v>
      </c>
      <c r="J62" s="5">
        <v>23.3</v>
      </c>
      <c r="K62" s="6" t="s">
        <v>13</v>
      </c>
      <c r="L62" s="5" t="s">
        <v>36</v>
      </c>
    </row>
    <row r="63" spans="1:12" x14ac:dyDescent="0.25">
      <c r="A63" s="4" t="s">
        <v>28</v>
      </c>
      <c r="B63" s="5">
        <v>2024</v>
      </c>
      <c r="C63" s="5" t="s">
        <v>14</v>
      </c>
      <c r="D63" s="5">
        <v>21434</v>
      </c>
      <c r="E63" s="5">
        <v>220.2</v>
      </c>
      <c r="F63" s="5">
        <v>168.9</v>
      </c>
      <c r="G63" s="5">
        <v>32</v>
      </c>
      <c r="H63" s="5">
        <v>19.3</v>
      </c>
      <c r="I63" s="5">
        <v>10.7</v>
      </c>
      <c r="J63" s="5">
        <v>25.4</v>
      </c>
      <c r="K63" s="6" t="s">
        <v>13</v>
      </c>
      <c r="L63" s="5" t="s">
        <v>36</v>
      </c>
    </row>
    <row r="64" spans="1:12" x14ac:dyDescent="0.25">
      <c r="A64" s="4" t="s">
        <v>28</v>
      </c>
      <c r="B64" s="5">
        <v>2024</v>
      </c>
      <c r="C64" s="5" t="s">
        <v>15</v>
      </c>
      <c r="D64" s="5">
        <v>41726</v>
      </c>
      <c r="E64" s="5">
        <v>249.6</v>
      </c>
      <c r="F64" s="5">
        <v>190.3</v>
      </c>
      <c r="G64" s="5">
        <v>31.6</v>
      </c>
      <c r="H64" s="5">
        <v>27.7</v>
      </c>
      <c r="I64" s="5">
        <v>0</v>
      </c>
      <c r="J64" s="5">
        <v>28.9</v>
      </c>
      <c r="K64" s="6" t="s">
        <v>13</v>
      </c>
      <c r="L64" s="5" t="s">
        <v>39</v>
      </c>
    </row>
    <row r="65" spans="1:12" x14ac:dyDescent="0.25">
      <c r="A65" s="4" t="s">
        <v>28</v>
      </c>
      <c r="B65" s="5">
        <v>2024</v>
      </c>
      <c r="C65" s="5" t="s">
        <v>16</v>
      </c>
      <c r="D65" s="5">
        <v>61181</v>
      </c>
      <c r="E65" s="5">
        <v>265.5</v>
      </c>
      <c r="F65" s="5">
        <v>196.8</v>
      </c>
      <c r="G65" s="5">
        <v>39.200000000000003</v>
      </c>
      <c r="H65" s="5">
        <v>29.5</v>
      </c>
      <c r="I65" s="5">
        <v>21.5</v>
      </c>
      <c r="J65" s="5">
        <v>32.9</v>
      </c>
      <c r="K65" s="6" t="s">
        <v>18</v>
      </c>
      <c r="L65" s="5" t="s">
        <v>38</v>
      </c>
    </row>
    <row r="66" spans="1:12" x14ac:dyDescent="0.25">
      <c r="A66" s="4" t="s">
        <v>28</v>
      </c>
      <c r="B66" s="5">
        <v>2024</v>
      </c>
      <c r="C66" s="5" t="s">
        <v>17</v>
      </c>
      <c r="D66" s="5">
        <v>44320</v>
      </c>
      <c r="E66" s="5">
        <v>313</v>
      </c>
      <c r="F66" s="5">
        <v>240.4</v>
      </c>
      <c r="G66" s="5">
        <v>39.6</v>
      </c>
      <c r="H66" s="5">
        <v>33</v>
      </c>
      <c r="I66" s="5">
        <v>25.5</v>
      </c>
      <c r="J66" s="5">
        <v>35.4</v>
      </c>
      <c r="K66" s="6" t="s">
        <v>21</v>
      </c>
      <c r="L66" s="5" t="s">
        <v>38</v>
      </c>
    </row>
    <row r="67" spans="1:12" x14ac:dyDescent="0.25">
      <c r="A67" s="4" t="s">
        <v>28</v>
      </c>
      <c r="B67" s="5">
        <v>2024</v>
      </c>
      <c r="C67" s="5" t="s">
        <v>19</v>
      </c>
      <c r="D67" s="5">
        <v>39109</v>
      </c>
      <c r="E67" s="5">
        <v>374.4</v>
      </c>
      <c r="F67" s="5">
        <v>284.39999999999998</v>
      </c>
      <c r="G67" s="5">
        <v>46.4</v>
      </c>
      <c r="H67" s="5">
        <v>43.6</v>
      </c>
      <c r="I67" s="5">
        <v>92.8</v>
      </c>
      <c r="J67" s="5">
        <v>40.1</v>
      </c>
      <c r="K67" s="6" t="s">
        <v>21</v>
      </c>
      <c r="L67" s="5" t="s">
        <v>38</v>
      </c>
    </row>
    <row r="68" spans="1:12" x14ac:dyDescent="0.25">
      <c r="A68" s="4" t="s">
        <v>28</v>
      </c>
      <c r="B68" s="5">
        <v>2024</v>
      </c>
      <c r="C68" s="5" t="s">
        <v>20</v>
      </c>
      <c r="D68" s="5">
        <v>39311</v>
      </c>
      <c r="E68" s="5">
        <v>385.9</v>
      </c>
      <c r="F68" s="5">
        <v>286.10000000000002</v>
      </c>
      <c r="G68" s="5">
        <v>60.1</v>
      </c>
      <c r="H68" s="5">
        <v>39.700000000000003</v>
      </c>
      <c r="I68" s="5">
        <v>161.69999999999999</v>
      </c>
      <c r="J68" s="5">
        <v>36.700000000000003</v>
      </c>
      <c r="K68" s="6" t="s">
        <v>21</v>
      </c>
      <c r="L68" s="5" t="s">
        <v>37</v>
      </c>
    </row>
    <row r="69" spans="1:12" x14ac:dyDescent="0.25">
      <c r="A69" s="4" t="s">
        <v>28</v>
      </c>
      <c r="B69" s="5">
        <v>2024</v>
      </c>
      <c r="C69" s="5" t="s">
        <v>22</v>
      </c>
      <c r="D69" s="5">
        <v>63991</v>
      </c>
      <c r="E69" s="5">
        <v>374.5</v>
      </c>
      <c r="F69" s="5">
        <v>282.3</v>
      </c>
      <c r="G69" s="5">
        <v>59.7</v>
      </c>
      <c r="H69" s="5">
        <v>32.5</v>
      </c>
      <c r="I69" s="5">
        <v>154.1</v>
      </c>
      <c r="J69" s="5">
        <v>31.7</v>
      </c>
      <c r="K69" s="6" t="s">
        <v>21</v>
      </c>
      <c r="L69" s="5" t="s">
        <v>37</v>
      </c>
    </row>
    <row r="70" spans="1:12" x14ac:dyDescent="0.25">
      <c r="A70" s="4" t="s">
        <v>28</v>
      </c>
      <c r="B70" s="5">
        <v>2024</v>
      </c>
      <c r="C70" s="5" t="s">
        <v>23</v>
      </c>
      <c r="D70" s="5">
        <v>46185</v>
      </c>
      <c r="E70" s="5">
        <v>336.5</v>
      </c>
      <c r="F70" s="5">
        <v>255.5</v>
      </c>
      <c r="G70" s="5">
        <v>45</v>
      </c>
      <c r="H70" s="5">
        <v>36</v>
      </c>
      <c r="I70" s="5">
        <v>104.2</v>
      </c>
      <c r="J70" s="5">
        <v>32.4</v>
      </c>
      <c r="K70" s="6" t="s">
        <v>21</v>
      </c>
      <c r="L70" s="5" t="s">
        <v>37</v>
      </c>
    </row>
    <row r="71" spans="1:12" x14ac:dyDescent="0.25">
      <c r="A71" s="4" t="s">
        <v>28</v>
      </c>
      <c r="B71" s="5">
        <v>2024</v>
      </c>
      <c r="C71" s="5" t="s">
        <v>24</v>
      </c>
      <c r="D71" s="5">
        <v>24231</v>
      </c>
      <c r="E71" s="5">
        <v>274.39999999999998</v>
      </c>
      <c r="F71" s="5">
        <v>209.2</v>
      </c>
      <c r="G71" s="5">
        <v>38.1</v>
      </c>
      <c r="H71" s="5">
        <v>27.1</v>
      </c>
      <c r="I71" s="5">
        <v>44.2</v>
      </c>
      <c r="J71" s="5">
        <v>31.7</v>
      </c>
      <c r="K71" s="6" t="s">
        <v>18</v>
      </c>
      <c r="L71" s="5" t="s">
        <v>36</v>
      </c>
    </row>
    <row r="72" spans="1:12" x14ac:dyDescent="0.25">
      <c r="A72" s="4" t="s">
        <v>28</v>
      </c>
      <c r="B72" s="5">
        <v>2024</v>
      </c>
      <c r="C72" s="5" t="s">
        <v>25</v>
      </c>
      <c r="D72" s="5">
        <v>49081</v>
      </c>
      <c r="E72" s="5">
        <v>246.7</v>
      </c>
      <c r="F72" s="5">
        <v>184.1</v>
      </c>
      <c r="G72" s="5">
        <v>41.9</v>
      </c>
      <c r="H72" s="5">
        <v>20.7</v>
      </c>
      <c r="I72" s="5">
        <v>18.8</v>
      </c>
      <c r="J72" s="5">
        <v>24.4</v>
      </c>
      <c r="K72" s="6" t="s">
        <v>13</v>
      </c>
      <c r="L72" s="5" t="s">
        <v>36</v>
      </c>
    </row>
    <row r="73" spans="1:12" x14ac:dyDescent="0.25">
      <c r="A73" s="4" t="s">
        <v>28</v>
      </c>
      <c r="B73" s="5">
        <v>2024</v>
      </c>
      <c r="C73" s="5" t="s">
        <v>26</v>
      </c>
      <c r="D73" s="5">
        <v>26527</v>
      </c>
      <c r="E73" s="5">
        <v>222.3</v>
      </c>
      <c r="F73" s="5">
        <v>162.6</v>
      </c>
      <c r="G73" s="5">
        <v>34.5</v>
      </c>
      <c r="H73" s="5">
        <v>25.2</v>
      </c>
      <c r="I73" s="5">
        <v>0</v>
      </c>
      <c r="J73" s="5">
        <v>20.5</v>
      </c>
      <c r="K73" s="6" t="s">
        <v>13</v>
      </c>
      <c r="L73" s="5" t="s">
        <v>36</v>
      </c>
    </row>
    <row r="74" spans="1:12" x14ac:dyDescent="0.25">
      <c r="A74" s="4" t="s">
        <v>29</v>
      </c>
      <c r="B74" s="5">
        <v>2023</v>
      </c>
      <c r="C74" s="5" t="s">
        <v>12</v>
      </c>
      <c r="D74" s="5">
        <v>56759</v>
      </c>
      <c r="E74" s="5">
        <v>178.7</v>
      </c>
      <c r="F74" s="5">
        <v>136.9</v>
      </c>
      <c r="G74" s="5">
        <v>26.9</v>
      </c>
      <c r="H74" s="5">
        <v>14.9</v>
      </c>
      <c r="I74" s="5">
        <v>0.9</v>
      </c>
      <c r="J74" s="5">
        <v>23.5</v>
      </c>
      <c r="K74" s="6" t="s">
        <v>13</v>
      </c>
      <c r="L74" s="5" t="s">
        <v>36</v>
      </c>
    </row>
    <row r="75" spans="1:12" x14ac:dyDescent="0.25">
      <c r="A75" s="4" t="s">
        <v>29</v>
      </c>
      <c r="B75" s="5">
        <v>2023</v>
      </c>
      <c r="C75" s="5" t="s">
        <v>14</v>
      </c>
      <c r="D75" s="5">
        <v>36813</v>
      </c>
      <c r="E75" s="5">
        <v>165.4</v>
      </c>
      <c r="F75" s="5">
        <v>123</v>
      </c>
      <c r="G75" s="5">
        <v>28.4</v>
      </c>
      <c r="H75" s="5">
        <v>14</v>
      </c>
      <c r="I75" s="5">
        <v>16.5</v>
      </c>
      <c r="J75" s="5">
        <v>23.4</v>
      </c>
      <c r="K75" s="6" t="s">
        <v>13</v>
      </c>
      <c r="L75" s="5" t="s">
        <v>36</v>
      </c>
    </row>
    <row r="76" spans="1:12" x14ac:dyDescent="0.25">
      <c r="A76" s="4" t="s">
        <v>29</v>
      </c>
      <c r="B76" s="5">
        <v>2023</v>
      </c>
      <c r="C76" s="5" t="s">
        <v>15</v>
      </c>
      <c r="D76" s="5">
        <v>48324</v>
      </c>
      <c r="E76" s="5">
        <v>193.8</v>
      </c>
      <c r="F76" s="5">
        <v>137.1</v>
      </c>
      <c r="G76" s="5">
        <v>34.4</v>
      </c>
      <c r="H76" s="5">
        <v>22.3</v>
      </c>
      <c r="I76" s="5">
        <v>11.8</v>
      </c>
      <c r="J76" s="5">
        <v>28.6</v>
      </c>
      <c r="K76" s="6" t="s">
        <v>13</v>
      </c>
      <c r="L76" s="5" t="s">
        <v>39</v>
      </c>
    </row>
    <row r="77" spans="1:12" x14ac:dyDescent="0.25">
      <c r="A77" s="4" t="s">
        <v>29</v>
      </c>
      <c r="B77" s="5">
        <v>2023</v>
      </c>
      <c r="C77" s="5" t="s">
        <v>16</v>
      </c>
      <c r="D77" s="5">
        <v>55464</v>
      </c>
      <c r="E77" s="5">
        <v>223.2</v>
      </c>
      <c r="F77" s="5">
        <v>165.5</v>
      </c>
      <c r="G77" s="5">
        <v>31.1</v>
      </c>
      <c r="H77" s="5">
        <v>26.6</v>
      </c>
      <c r="I77" s="5">
        <v>12.3</v>
      </c>
      <c r="J77" s="5">
        <v>33.1</v>
      </c>
      <c r="K77" s="6" t="s">
        <v>13</v>
      </c>
      <c r="L77" s="5" t="s">
        <v>38</v>
      </c>
    </row>
    <row r="78" spans="1:12" x14ac:dyDescent="0.25">
      <c r="A78" s="4" t="s">
        <v>29</v>
      </c>
      <c r="B78" s="5">
        <v>2023</v>
      </c>
      <c r="C78" s="5" t="s">
        <v>17</v>
      </c>
      <c r="D78" s="5">
        <v>24783</v>
      </c>
      <c r="E78" s="5">
        <v>231.5</v>
      </c>
      <c r="F78" s="5">
        <v>162.30000000000001</v>
      </c>
      <c r="G78" s="5">
        <v>39.4</v>
      </c>
      <c r="H78" s="5">
        <v>29.8</v>
      </c>
      <c r="I78" s="5">
        <v>32.200000000000003</v>
      </c>
      <c r="J78" s="5">
        <v>36.9</v>
      </c>
      <c r="K78" s="6" t="s">
        <v>13</v>
      </c>
      <c r="L78" s="5" t="s">
        <v>38</v>
      </c>
    </row>
    <row r="79" spans="1:12" x14ac:dyDescent="0.25">
      <c r="A79" s="4" t="s">
        <v>29</v>
      </c>
      <c r="B79" s="5">
        <v>2023</v>
      </c>
      <c r="C79" s="5" t="s">
        <v>19</v>
      </c>
      <c r="D79" s="5">
        <v>20565</v>
      </c>
      <c r="E79" s="5">
        <v>285.10000000000002</v>
      </c>
      <c r="F79" s="5">
        <v>216.4</v>
      </c>
      <c r="G79" s="5">
        <v>41.7</v>
      </c>
      <c r="H79" s="5">
        <v>27</v>
      </c>
      <c r="I79" s="5">
        <v>83.7</v>
      </c>
      <c r="J79" s="5">
        <v>38.700000000000003</v>
      </c>
      <c r="K79" s="6" t="s">
        <v>18</v>
      </c>
      <c r="L79" s="5" t="s">
        <v>38</v>
      </c>
    </row>
    <row r="80" spans="1:12" x14ac:dyDescent="0.25">
      <c r="A80" s="4" t="s">
        <v>29</v>
      </c>
      <c r="B80" s="5">
        <v>2023</v>
      </c>
      <c r="C80" s="5" t="s">
        <v>20</v>
      </c>
      <c r="D80" s="5">
        <v>42435</v>
      </c>
      <c r="E80" s="5">
        <v>288.8</v>
      </c>
      <c r="F80" s="5">
        <v>208.4</v>
      </c>
      <c r="G80" s="5">
        <v>41.4</v>
      </c>
      <c r="H80" s="5">
        <v>39</v>
      </c>
      <c r="I80" s="5">
        <v>167.3</v>
      </c>
      <c r="J80" s="5">
        <v>32.799999999999997</v>
      </c>
      <c r="K80" s="6" t="s">
        <v>18</v>
      </c>
      <c r="L80" s="5" t="s">
        <v>37</v>
      </c>
    </row>
    <row r="81" spans="1:12" x14ac:dyDescent="0.25">
      <c r="A81" s="4" t="s">
        <v>29</v>
      </c>
      <c r="B81" s="5">
        <v>2023</v>
      </c>
      <c r="C81" s="5" t="s">
        <v>22</v>
      </c>
      <c r="D81" s="5">
        <v>59345</v>
      </c>
      <c r="E81" s="5">
        <v>279.7</v>
      </c>
      <c r="F81" s="5">
        <v>211.8</v>
      </c>
      <c r="G81" s="5">
        <v>34.700000000000003</v>
      </c>
      <c r="H81" s="5">
        <v>33.200000000000003</v>
      </c>
      <c r="I81" s="5">
        <v>157.5</v>
      </c>
      <c r="J81" s="5">
        <v>34.299999999999997</v>
      </c>
      <c r="K81" s="6" t="s">
        <v>18</v>
      </c>
      <c r="L81" s="5" t="s">
        <v>37</v>
      </c>
    </row>
    <row r="82" spans="1:12" x14ac:dyDescent="0.25">
      <c r="A82" s="4" t="s">
        <v>29</v>
      </c>
      <c r="B82" s="5">
        <v>2023</v>
      </c>
      <c r="C82" s="5" t="s">
        <v>23</v>
      </c>
      <c r="D82" s="5">
        <v>61028</v>
      </c>
      <c r="E82" s="5">
        <v>247.8</v>
      </c>
      <c r="F82" s="5">
        <v>174.9</v>
      </c>
      <c r="G82" s="5">
        <v>38.700000000000003</v>
      </c>
      <c r="H82" s="5">
        <v>34.200000000000003</v>
      </c>
      <c r="I82" s="5">
        <v>112.4</v>
      </c>
      <c r="J82" s="5">
        <v>31.5</v>
      </c>
      <c r="K82" s="6" t="s">
        <v>13</v>
      </c>
      <c r="L82" s="5" t="s">
        <v>37</v>
      </c>
    </row>
    <row r="83" spans="1:12" x14ac:dyDescent="0.25">
      <c r="A83" s="4" t="s">
        <v>29</v>
      </c>
      <c r="B83" s="5">
        <v>2023</v>
      </c>
      <c r="C83" s="5" t="s">
        <v>24</v>
      </c>
      <c r="D83" s="5">
        <v>40925</v>
      </c>
      <c r="E83" s="5">
        <v>217.3</v>
      </c>
      <c r="F83" s="5">
        <v>161.30000000000001</v>
      </c>
      <c r="G83" s="5">
        <v>34.6</v>
      </c>
      <c r="H83" s="5">
        <v>21.4</v>
      </c>
      <c r="I83" s="5">
        <v>42.2</v>
      </c>
      <c r="J83" s="5">
        <v>27.3</v>
      </c>
      <c r="K83" s="6" t="s">
        <v>13</v>
      </c>
      <c r="L83" s="5" t="s">
        <v>36</v>
      </c>
    </row>
    <row r="84" spans="1:12" x14ac:dyDescent="0.25">
      <c r="A84" s="4" t="s">
        <v>29</v>
      </c>
      <c r="B84" s="5">
        <v>2023</v>
      </c>
      <c r="C84" s="5" t="s">
        <v>25</v>
      </c>
      <c r="D84" s="5">
        <v>23552</v>
      </c>
      <c r="E84" s="5">
        <v>192</v>
      </c>
      <c r="F84" s="5">
        <v>145.69999999999999</v>
      </c>
      <c r="G84" s="5">
        <v>27.4</v>
      </c>
      <c r="H84" s="5">
        <v>18.899999999999999</v>
      </c>
      <c r="I84" s="5">
        <v>19.7</v>
      </c>
      <c r="J84" s="5">
        <v>21.3</v>
      </c>
      <c r="K84" s="6" t="s">
        <v>13</v>
      </c>
      <c r="L84" s="5" t="s">
        <v>36</v>
      </c>
    </row>
    <row r="85" spans="1:12" x14ac:dyDescent="0.25">
      <c r="A85" s="4" t="s">
        <v>29</v>
      </c>
      <c r="B85" s="5">
        <v>2023</v>
      </c>
      <c r="C85" s="5" t="s">
        <v>26</v>
      </c>
      <c r="D85" s="5">
        <v>62919</v>
      </c>
      <c r="E85" s="5">
        <v>171.3</v>
      </c>
      <c r="F85" s="5">
        <v>126.7</v>
      </c>
      <c r="G85" s="5">
        <v>21.5</v>
      </c>
      <c r="H85" s="5">
        <v>23.1</v>
      </c>
      <c r="I85" s="5">
        <v>0.3</v>
      </c>
      <c r="J85" s="5">
        <v>19.399999999999999</v>
      </c>
      <c r="K85" s="6" t="s">
        <v>13</v>
      </c>
      <c r="L85" s="5" t="s">
        <v>36</v>
      </c>
    </row>
    <row r="86" spans="1:12" x14ac:dyDescent="0.25">
      <c r="A86" s="4" t="s">
        <v>29</v>
      </c>
      <c r="B86" s="5">
        <v>2024</v>
      </c>
      <c r="C86" s="5" t="s">
        <v>12</v>
      </c>
      <c r="D86" s="5">
        <v>38241</v>
      </c>
      <c r="E86" s="5">
        <v>160</v>
      </c>
      <c r="F86" s="5">
        <v>124.2</v>
      </c>
      <c r="G86" s="5">
        <v>21.3</v>
      </c>
      <c r="H86" s="5">
        <v>14.5</v>
      </c>
      <c r="I86" s="5">
        <v>15.9</v>
      </c>
      <c r="J86" s="5">
        <v>21.4</v>
      </c>
      <c r="K86" s="6" t="s">
        <v>13</v>
      </c>
      <c r="L86" s="5" t="s">
        <v>36</v>
      </c>
    </row>
    <row r="87" spans="1:12" x14ac:dyDescent="0.25">
      <c r="A87" s="4" t="s">
        <v>29</v>
      </c>
      <c r="B87" s="5">
        <v>2024</v>
      </c>
      <c r="C87" s="5" t="s">
        <v>14</v>
      </c>
      <c r="D87" s="5">
        <v>27015</v>
      </c>
      <c r="E87" s="5">
        <v>169.4</v>
      </c>
      <c r="F87" s="5">
        <v>131</v>
      </c>
      <c r="G87" s="5">
        <v>23.3</v>
      </c>
      <c r="H87" s="5">
        <v>15.1</v>
      </c>
      <c r="I87" s="5">
        <v>10.8</v>
      </c>
      <c r="J87" s="5">
        <v>23.3</v>
      </c>
      <c r="K87" s="6" t="s">
        <v>13</v>
      </c>
      <c r="L87" s="5" t="s">
        <v>36</v>
      </c>
    </row>
    <row r="88" spans="1:12" x14ac:dyDescent="0.25">
      <c r="A88" s="4" t="s">
        <v>29</v>
      </c>
      <c r="B88" s="5">
        <v>2024</v>
      </c>
      <c r="C88" s="5" t="s">
        <v>15</v>
      </c>
      <c r="D88" s="5">
        <v>52506</v>
      </c>
      <c r="E88" s="5">
        <v>194.6</v>
      </c>
      <c r="F88" s="5">
        <v>151.30000000000001</v>
      </c>
      <c r="G88" s="5">
        <v>27.3</v>
      </c>
      <c r="H88" s="5">
        <v>16</v>
      </c>
      <c r="I88" s="5">
        <v>12.5</v>
      </c>
      <c r="J88" s="5">
        <v>28.2</v>
      </c>
      <c r="K88" s="6" t="s">
        <v>13</v>
      </c>
      <c r="L88" s="5" t="s">
        <v>39</v>
      </c>
    </row>
    <row r="89" spans="1:12" x14ac:dyDescent="0.25">
      <c r="A89" s="4" t="s">
        <v>29</v>
      </c>
      <c r="B89" s="5">
        <v>2024</v>
      </c>
      <c r="C89" s="5" t="s">
        <v>16</v>
      </c>
      <c r="D89" s="5">
        <v>28633</v>
      </c>
      <c r="E89" s="5">
        <v>210.4</v>
      </c>
      <c r="F89" s="5">
        <v>157.30000000000001</v>
      </c>
      <c r="G89" s="5">
        <v>34</v>
      </c>
      <c r="H89" s="5">
        <v>19.100000000000001</v>
      </c>
      <c r="I89" s="5">
        <v>2.7</v>
      </c>
      <c r="J89" s="5">
        <v>30.7</v>
      </c>
      <c r="K89" s="6" t="s">
        <v>13</v>
      </c>
      <c r="L89" s="5" t="s">
        <v>38</v>
      </c>
    </row>
    <row r="90" spans="1:12" x14ac:dyDescent="0.25">
      <c r="A90" s="4" t="s">
        <v>29</v>
      </c>
      <c r="B90" s="5">
        <v>2024</v>
      </c>
      <c r="C90" s="5" t="s">
        <v>17</v>
      </c>
      <c r="D90" s="5">
        <v>20863</v>
      </c>
      <c r="E90" s="5">
        <v>247.3</v>
      </c>
      <c r="F90" s="5">
        <v>181.7</v>
      </c>
      <c r="G90" s="5">
        <v>39.700000000000003</v>
      </c>
      <c r="H90" s="5">
        <v>25.9</v>
      </c>
      <c r="I90" s="5">
        <v>28.8</v>
      </c>
      <c r="J90" s="5">
        <v>38.6</v>
      </c>
      <c r="K90" s="6" t="s">
        <v>13</v>
      </c>
      <c r="L90" s="5" t="s">
        <v>38</v>
      </c>
    </row>
    <row r="91" spans="1:12" x14ac:dyDescent="0.25">
      <c r="A91" s="4" t="s">
        <v>29</v>
      </c>
      <c r="B91" s="5">
        <v>2024</v>
      </c>
      <c r="C91" s="5" t="s">
        <v>19</v>
      </c>
      <c r="D91" s="5">
        <v>47420</v>
      </c>
      <c r="E91" s="5">
        <v>276.39999999999998</v>
      </c>
      <c r="F91" s="5">
        <v>213.3</v>
      </c>
      <c r="G91" s="5">
        <v>37.1</v>
      </c>
      <c r="H91" s="5">
        <v>26</v>
      </c>
      <c r="I91" s="5">
        <v>112.1</v>
      </c>
      <c r="J91" s="5">
        <v>37.4</v>
      </c>
      <c r="K91" s="6" t="s">
        <v>18</v>
      </c>
      <c r="L91" s="5" t="s">
        <v>38</v>
      </c>
    </row>
    <row r="92" spans="1:12" x14ac:dyDescent="0.25">
      <c r="A92" s="4" t="s">
        <v>29</v>
      </c>
      <c r="B92" s="5">
        <v>2024</v>
      </c>
      <c r="C92" s="5" t="s">
        <v>20</v>
      </c>
      <c r="D92" s="5">
        <v>30715</v>
      </c>
      <c r="E92" s="5">
        <v>306.7</v>
      </c>
      <c r="F92" s="5">
        <v>221.2</v>
      </c>
      <c r="G92" s="5">
        <v>54.2</v>
      </c>
      <c r="H92" s="5">
        <v>31.3</v>
      </c>
      <c r="I92" s="5">
        <v>176.1</v>
      </c>
      <c r="J92" s="5">
        <v>34.799999999999997</v>
      </c>
      <c r="K92" s="6" t="s">
        <v>21</v>
      </c>
      <c r="L92" s="5" t="s">
        <v>37</v>
      </c>
    </row>
    <row r="93" spans="1:12" x14ac:dyDescent="0.25">
      <c r="A93" s="4" t="s">
        <v>29</v>
      </c>
      <c r="B93" s="5">
        <v>2024</v>
      </c>
      <c r="C93" s="5" t="s">
        <v>22</v>
      </c>
      <c r="D93" s="5">
        <v>43026</v>
      </c>
      <c r="E93" s="5">
        <v>285.2</v>
      </c>
      <c r="F93" s="5">
        <v>212.4</v>
      </c>
      <c r="G93" s="5">
        <v>41.4</v>
      </c>
      <c r="H93" s="5">
        <v>31.4</v>
      </c>
      <c r="I93" s="5">
        <v>148.5</v>
      </c>
      <c r="J93" s="5">
        <v>33.9</v>
      </c>
      <c r="K93" s="6" t="s">
        <v>18</v>
      </c>
      <c r="L93" s="5" t="s">
        <v>37</v>
      </c>
    </row>
    <row r="94" spans="1:12" x14ac:dyDescent="0.25">
      <c r="A94" s="4" t="s">
        <v>29</v>
      </c>
      <c r="B94" s="5">
        <v>2024</v>
      </c>
      <c r="C94" s="5" t="s">
        <v>23</v>
      </c>
      <c r="D94" s="5">
        <v>34384</v>
      </c>
      <c r="E94" s="5">
        <v>255.5</v>
      </c>
      <c r="F94" s="5">
        <v>196.3</v>
      </c>
      <c r="G94" s="5">
        <v>38</v>
      </c>
      <c r="H94" s="5">
        <v>21.2</v>
      </c>
      <c r="I94" s="5">
        <v>93.9</v>
      </c>
      <c r="J94" s="5">
        <v>33.5</v>
      </c>
      <c r="K94" s="6" t="s">
        <v>18</v>
      </c>
      <c r="L94" s="5" t="s">
        <v>37</v>
      </c>
    </row>
    <row r="95" spans="1:12" x14ac:dyDescent="0.25">
      <c r="A95" s="4" t="s">
        <v>29</v>
      </c>
      <c r="B95" s="5">
        <v>2024</v>
      </c>
      <c r="C95" s="5" t="s">
        <v>24</v>
      </c>
      <c r="D95" s="5">
        <v>51810</v>
      </c>
      <c r="E95" s="5">
        <v>218.5</v>
      </c>
      <c r="F95" s="5">
        <v>159.9</v>
      </c>
      <c r="G95" s="5">
        <v>30</v>
      </c>
      <c r="H95" s="5">
        <v>28.6</v>
      </c>
      <c r="I95" s="5">
        <v>45.7</v>
      </c>
      <c r="J95" s="5">
        <v>26.8</v>
      </c>
      <c r="K95" s="6" t="s">
        <v>13</v>
      </c>
      <c r="L95" s="5" t="s">
        <v>36</v>
      </c>
    </row>
    <row r="96" spans="1:12" x14ac:dyDescent="0.25">
      <c r="A96" s="4" t="s">
        <v>29</v>
      </c>
      <c r="B96" s="5">
        <v>2024</v>
      </c>
      <c r="C96" s="5" t="s">
        <v>25</v>
      </c>
      <c r="D96" s="5">
        <v>27656</v>
      </c>
      <c r="E96" s="5">
        <v>196.7</v>
      </c>
      <c r="F96" s="5">
        <v>146.5</v>
      </c>
      <c r="G96" s="5">
        <v>24.7</v>
      </c>
      <c r="H96" s="5">
        <v>25.5</v>
      </c>
      <c r="I96" s="5">
        <v>30.6</v>
      </c>
      <c r="J96" s="5">
        <v>22.5</v>
      </c>
      <c r="K96" s="6" t="s">
        <v>13</v>
      </c>
      <c r="L96" s="5" t="s">
        <v>36</v>
      </c>
    </row>
    <row r="97" spans="1:12" x14ac:dyDescent="0.25">
      <c r="A97" s="4" t="s">
        <v>29</v>
      </c>
      <c r="B97" s="5">
        <v>2024</v>
      </c>
      <c r="C97" s="5" t="s">
        <v>26</v>
      </c>
      <c r="D97" s="5">
        <v>19747</v>
      </c>
      <c r="E97" s="5">
        <v>176.4</v>
      </c>
      <c r="F97" s="5">
        <v>132.5</v>
      </c>
      <c r="G97" s="5">
        <v>25.4</v>
      </c>
      <c r="H97" s="5">
        <v>18.5</v>
      </c>
      <c r="I97" s="5">
        <v>0</v>
      </c>
      <c r="J97" s="5">
        <v>22.1</v>
      </c>
      <c r="K97" s="6" t="s">
        <v>13</v>
      </c>
      <c r="L97" s="5" t="s">
        <v>36</v>
      </c>
    </row>
    <row r="98" spans="1:12" x14ac:dyDescent="0.25">
      <c r="A98" s="4" t="s">
        <v>30</v>
      </c>
      <c r="B98" s="5">
        <v>2023</v>
      </c>
      <c r="C98" s="5" t="s">
        <v>12</v>
      </c>
      <c r="D98" s="5">
        <v>22535</v>
      </c>
      <c r="E98" s="5">
        <v>235.7</v>
      </c>
      <c r="F98" s="5">
        <v>167.2</v>
      </c>
      <c r="G98" s="5">
        <v>35.799999999999997</v>
      </c>
      <c r="H98" s="5">
        <v>32.700000000000003</v>
      </c>
      <c r="I98" s="5">
        <v>15.3</v>
      </c>
      <c r="J98" s="5">
        <v>23.6</v>
      </c>
      <c r="K98" s="6" t="s">
        <v>13</v>
      </c>
      <c r="L98" s="5" t="s">
        <v>36</v>
      </c>
    </row>
    <row r="99" spans="1:12" x14ac:dyDescent="0.25">
      <c r="A99" s="4" t="s">
        <v>30</v>
      </c>
      <c r="B99" s="5">
        <v>2023</v>
      </c>
      <c r="C99" s="5" t="s">
        <v>14</v>
      </c>
      <c r="D99" s="5">
        <v>28821</v>
      </c>
      <c r="E99" s="5">
        <v>246.7</v>
      </c>
      <c r="F99" s="5">
        <v>180.5</v>
      </c>
      <c r="G99" s="5">
        <v>42.5</v>
      </c>
      <c r="H99" s="5">
        <v>23.7</v>
      </c>
      <c r="I99" s="5">
        <v>1.9</v>
      </c>
      <c r="J99" s="5">
        <v>25.5</v>
      </c>
      <c r="K99" s="6" t="s">
        <v>13</v>
      </c>
      <c r="L99" s="5" t="s">
        <v>36</v>
      </c>
    </row>
    <row r="100" spans="1:12" x14ac:dyDescent="0.25">
      <c r="A100" s="4" t="s">
        <v>30</v>
      </c>
      <c r="B100" s="5">
        <v>2023</v>
      </c>
      <c r="C100" s="5" t="s">
        <v>15</v>
      </c>
      <c r="D100" s="5">
        <v>63211</v>
      </c>
      <c r="E100" s="5">
        <v>260.5</v>
      </c>
      <c r="F100" s="5">
        <v>200.4</v>
      </c>
      <c r="G100" s="5">
        <v>36.1</v>
      </c>
      <c r="H100" s="5">
        <v>24</v>
      </c>
      <c r="I100" s="5">
        <v>26.5</v>
      </c>
      <c r="J100" s="5">
        <v>28.9</v>
      </c>
      <c r="K100" s="6" t="s">
        <v>18</v>
      </c>
      <c r="L100" s="5" t="s">
        <v>39</v>
      </c>
    </row>
    <row r="101" spans="1:12" x14ac:dyDescent="0.25">
      <c r="A101" s="4" t="s">
        <v>30</v>
      </c>
      <c r="B101" s="5">
        <v>2023</v>
      </c>
      <c r="C101" s="5" t="s">
        <v>16</v>
      </c>
      <c r="D101" s="5">
        <v>51919</v>
      </c>
      <c r="E101" s="5">
        <v>284.7</v>
      </c>
      <c r="F101" s="5">
        <v>215.8</v>
      </c>
      <c r="G101" s="5">
        <v>38.4</v>
      </c>
      <c r="H101" s="5">
        <v>30.5</v>
      </c>
      <c r="I101" s="5">
        <v>19.899999999999999</v>
      </c>
      <c r="J101" s="5">
        <v>33.1</v>
      </c>
      <c r="K101" s="6" t="s">
        <v>18</v>
      </c>
      <c r="L101" s="5" t="s">
        <v>38</v>
      </c>
    </row>
    <row r="102" spans="1:12" x14ac:dyDescent="0.25">
      <c r="A102" s="4" t="s">
        <v>30</v>
      </c>
      <c r="B102" s="5">
        <v>2023</v>
      </c>
      <c r="C102" s="5" t="s">
        <v>17</v>
      </c>
      <c r="D102" s="5">
        <v>56564</v>
      </c>
      <c r="E102" s="5">
        <v>325.8</v>
      </c>
      <c r="F102" s="5">
        <v>254.9</v>
      </c>
      <c r="G102" s="5">
        <v>40.5</v>
      </c>
      <c r="H102" s="5">
        <v>30.4</v>
      </c>
      <c r="I102" s="5">
        <v>23.1</v>
      </c>
      <c r="J102" s="5">
        <v>36.200000000000003</v>
      </c>
      <c r="K102" s="6" t="s">
        <v>21</v>
      </c>
      <c r="L102" s="5" t="s">
        <v>38</v>
      </c>
    </row>
    <row r="103" spans="1:12" x14ac:dyDescent="0.25">
      <c r="A103" s="4" t="s">
        <v>30</v>
      </c>
      <c r="B103" s="5">
        <v>2023</v>
      </c>
      <c r="C103" s="5" t="s">
        <v>19</v>
      </c>
      <c r="D103" s="5">
        <v>39654</v>
      </c>
      <c r="E103" s="5">
        <v>387.3</v>
      </c>
      <c r="F103" s="5">
        <v>302.7</v>
      </c>
      <c r="G103" s="5">
        <v>52</v>
      </c>
      <c r="H103" s="5">
        <v>32.6</v>
      </c>
      <c r="I103" s="5">
        <v>91.6</v>
      </c>
      <c r="J103" s="5">
        <v>37.1</v>
      </c>
      <c r="K103" s="6" t="s">
        <v>21</v>
      </c>
      <c r="L103" s="5" t="s">
        <v>38</v>
      </c>
    </row>
    <row r="104" spans="1:12" x14ac:dyDescent="0.25">
      <c r="A104" s="4" t="s">
        <v>30</v>
      </c>
      <c r="B104" s="5">
        <v>2023</v>
      </c>
      <c r="C104" s="5" t="s">
        <v>20</v>
      </c>
      <c r="D104" s="5">
        <v>55423</v>
      </c>
      <c r="E104" s="5">
        <v>389.4</v>
      </c>
      <c r="F104" s="5">
        <v>292.39999999999998</v>
      </c>
      <c r="G104" s="5">
        <v>52.4</v>
      </c>
      <c r="H104" s="5">
        <v>44.6</v>
      </c>
      <c r="I104" s="5">
        <v>154.9</v>
      </c>
      <c r="J104" s="5">
        <v>35.299999999999997</v>
      </c>
      <c r="K104" s="6" t="s">
        <v>21</v>
      </c>
      <c r="L104" s="5" t="s">
        <v>37</v>
      </c>
    </row>
    <row r="105" spans="1:12" x14ac:dyDescent="0.25">
      <c r="A105" s="4" t="s">
        <v>30</v>
      </c>
      <c r="B105" s="5">
        <v>2023</v>
      </c>
      <c r="C105" s="5" t="s">
        <v>22</v>
      </c>
      <c r="D105" s="5">
        <v>61187</v>
      </c>
      <c r="E105" s="5">
        <v>379.7</v>
      </c>
      <c r="F105" s="5">
        <v>284.3</v>
      </c>
      <c r="G105" s="5">
        <v>55.2</v>
      </c>
      <c r="H105" s="5">
        <v>40.200000000000003</v>
      </c>
      <c r="I105" s="5">
        <v>129.19999999999999</v>
      </c>
      <c r="J105" s="5">
        <v>33.5</v>
      </c>
      <c r="K105" s="6" t="s">
        <v>21</v>
      </c>
      <c r="L105" s="5" t="s">
        <v>37</v>
      </c>
    </row>
    <row r="106" spans="1:12" x14ac:dyDescent="0.25">
      <c r="A106" s="4" t="s">
        <v>30</v>
      </c>
      <c r="B106" s="5">
        <v>2023</v>
      </c>
      <c r="C106" s="5" t="s">
        <v>23</v>
      </c>
      <c r="D106" s="5">
        <v>60348</v>
      </c>
      <c r="E106" s="5">
        <v>343.4</v>
      </c>
      <c r="F106" s="5">
        <v>264.39999999999998</v>
      </c>
      <c r="G106" s="5">
        <v>49.5</v>
      </c>
      <c r="H106" s="5">
        <v>29.5</v>
      </c>
      <c r="I106" s="5">
        <v>99.4</v>
      </c>
      <c r="J106" s="5">
        <v>33.5</v>
      </c>
      <c r="K106" s="6" t="s">
        <v>21</v>
      </c>
      <c r="L106" s="5" t="s">
        <v>37</v>
      </c>
    </row>
    <row r="107" spans="1:12" x14ac:dyDescent="0.25">
      <c r="A107" s="4" t="s">
        <v>30</v>
      </c>
      <c r="B107" s="5">
        <v>2023</v>
      </c>
      <c r="C107" s="5" t="s">
        <v>24</v>
      </c>
      <c r="D107" s="5">
        <v>30465</v>
      </c>
      <c r="E107" s="5">
        <v>280.10000000000002</v>
      </c>
      <c r="F107" s="5">
        <v>212.7</v>
      </c>
      <c r="G107" s="5">
        <v>36</v>
      </c>
      <c r="H107" s="5">
        <v>31.4</v>
      </c>
      <c r="I107" s="5">
        <v>49.5</v>
      </c>
      <c r="J107" s="5">
        <v>29.5</v>
      </c>
      <c r="K107" s="6" t="s">
        <v>18</v>
      </c>
      <c r="L107" s="5" t="s">
        <v>36</v>
      </c>
    </row>
    <row r="108" spans="1:12" x14ac:dyDescent="0.25">
      <c r="A108" s="4" t="s">
        <v>30</v>
      </c>
      <c r="B108" s="5">
        <v>2023</v>
      </c>
      <c r="C108" s="5" t="s">
        <v>25</v>
      </c>
      <c r="D108" s="5">
        <v>22940</v>
      </c>
      <c r="E108" s="5">
        <v>259.7</v>
      </c>
      <c r="F108" s="5">
        <v>187.4</v>
      </c>
      <c r="G108" s="5">
        <v>44.6</v>
      </c>
      <c r="H108" s="5">
        <v>27.7</v>
      </c>
      <c r="I108" s="5">
        <v>11.9</v>
      </c>
      <c r="J108" s="5">
        <v>23.8</v>
      </c>
      <c r="K108" s="6" t="s">
        <v>18</v>
      </c>
      <c r="L108" s="5" t="s">
        <v>36</v>
      </c>
    </row>
    <row r="109" spans="1:12" x14ac:dyDescent="0.25">
      <c r="A109" s="4" t="s">
        <v>30</v>
      </c>
      <c r="B109" s="5">
        <v>2023</v>
      </c>
      <c r="C109" s="5" t="s">
        <v>26</v>
      </c>
      <c r="D109" s="5">
        <v>18967</v>
      </c>
      <c r="E109" s="5">
        <v>236.2</v>
      </c>
      <c r="F109" s="5">
        <v>162.1</v>
      </c>
      <c r="G109" s="5">
        <v>41.5</v>
      </c>
      <c r="H109" s="5">
        <v>32.6</v>
      </c>
      <c r="I109" s="5">
        <v>9.5</v>
      </c>
      <c r="J109" s="5">
        <v>20.3</v>
      </c>
      <c r="K109" s="6" t="s">
        <v>13</v>
      </c>
      <c r="L109" s="5" t="s">
        <v>36</v>
      </c>
    </row>
    <row r="110" spans="1:12" x14ac:dyDescent="0.25">
      <c r="A110" s="4" t="s">
        <v>30</v>
      </c>
      <c r="B110" s="5">
        <v>2024</v>
      </c>
      <c r="C110" s="5" t="s">
        <v>12</v>
      </c>
      <c r="D110" s="5">
        <v>32008</v>
      </c>
      <c r="E110" s="5">
        <v>229.8</v>
      </c>
      <c r="F110" s="5">
        <v>159.5</v>
      </c>
      <c r="G110" s="5">
        <v>40</v>
      </c>
      <c r="H110" s="5">
        <v>30.3</v>
      </c>
      <c r="I110" s="5">
        <v>5.3</v>
      </c>
      <c r="J110" s="5">
        <v>22.1</v>
      </c>
      <c r="K110" s="6" t="s">
        <v>13</v>
      </c>
      <c r="L110" s="5" t="s">
        <v>36</v>
      </c>
    </row>
    <row r="111" spans="1:12" x14ac:dyDescent="0.25">
      <c r="A111" s="4" t="s">
        <v>30</v>
      </c>
      <c r="B111" s="5">
        <v>2024</v>
      </c>
      <c r="C111" s="5" t="s">
        <v>14</v>
      </c>
      <c r="D111" s="5">
        <v>47819</v>
      </c>
      <c r="E111" s="5">
        <v>233.4</v>
      </c>
      <c r="F111" s="5">
        <v>172.9</v>
      </c>
      <c r="G111" s="5">
        <v>37.799999999999997</v>
      </c>
      <c r="H111" s="5">
        <v>22.7</v>
      </c>
      <c r="I111" s="5">
        <v>5.9</v>
      </c>
      <c r="J111" s="5">
        <v>22.4</v>
      </c>
      <c r="K111" s="6" t="s">
        <v>13</v>
      </c>
      <c r="L111" s="5" t="s">
        <v>36</v>
      </c>
    </row>
    <row r="112" spans="1:12" x14ac:dyDescent="0.25">
      <c r="A112" s="4" t="s">
        <v>30</v>
      </c>
      <c r="B112" s="5">
        <v>2024</v>
      </c>
      <c r="C112" s="5" t="s">
        <v>15</v>
      </c>
      <c r="D112" s="5">
        <v>49894</v>
      </c>
      <c r="E112" s="5">
        <v>263.5</v>
      </c>
      <c r="F112" s="5">
        <v>203.7</v>
      </c>
      <c r="G112" s="5">
        <v>36.299999999999997</v>
      </c>
      <c r="H112" s="5">
        <v>23.5</v>
      </c>
      <c r="I112" s="5">
        <v>24.9</v>
      </c>
      <c r="J112" s="5">
        <v>28.6</v>
      </c>
      <c r="K112" s="6" t="s">
        <v>18</v>
      </c>
      <c r="L112" s="5" t="s">
        <v>39</v>
      </c>
    </row>
    <row r="113" spans="1:12" x14ac:dyDescent="0.25">
      <c r="A113" s="4" t="s">
        <v>30</v>
      </c>
      <c r="B113" s="5">
        <v>2024</v>
      </c>
      <c r="C113" s="5" t="s">
        <v>16</v>
      </c>
      <c r="D113" s="5">
        <v>38552</v>
      </c>
      <c r="E113" s="5">
        <v>287.2</v>
      </c>
      <c r="F113" s="5">
        <v>218.7</v>
      </c>
      <c r="G113" s="5">
        <v>44.5</v>
      </c>
      <c r="H113" s="5">
        <v>24</v>
      </c>
      <c r="I113" s="5">
        <v>0</v>
      </c>
      <c r="J113" s="5">
        <v>32.9</v>
      </c>
      <c r="K113" s="6" t="s">
        <v>18</v>
      </c>
      <c r="L113" s="5" t="s">
        <v>38</v>
      </c>
    </row>
    <row r="114" spans="1:12" x14ac:dyDescent="0.25">
      <c r="A114" s="4" t="s">
        <v>30</v>
      </c>
      <c r="B114" s="5">
        <v>2024</v>
      </c>
      <c r="C114" s="5" t="s">
        <v>17</v>
      </c>
      <c r="D114" s="5">
        <v>51281</v>
      </c>
      <c r="E114" s="5">
        <v>316.3</v>
      </c>
      <c r="F114" s="5">
        <v>248</v>
      </c>
      <c r="G114" s="5">
        <v>41.5</v>
      </c>
      <c r="H114" s="5">
        <v>26.8</v>
      </c>
      <c r="I114" s="5">
        <v>15.6</v>
      </c>
      <c r="J114" s="5">
        <v>35.700000000000003</v>
      </c>
      <c r="K114" s="6" t="s">
        <v>21</v>
      </c>
      <c r="L114" s="5" t="s">
        <v>38</v>
      </c>
    </row>
    <row r="115" spans="1:12" x14ac:dyDescent="0.25">
      <c r="A115" s="4" t="s">
        <v>30</v>
      </c>
      <c r="B115" s="5">
        <v>2024</v>
      </c>
      <c r="C115" s="5" t="s">
        <v>19</v>
      </c>
      <c r="D115" s="5">
        <v>25856</v>
      </c>
      <c r="E115" s="5">
        <v>371.2</v>
      </c>
      <c r="F115" s="5">
        <v>263.3</v>
      </c>
      <c r="G115" s="5">
        <v>57.2</v>
      </c>
      <c r="H115" s="5">
        <v>50.7</v>
      </c>
      <c r="I115" s="5">
        <v>92.5</v>
      </c>
      <c r="J115" s="5">
        <v>37.799999999999997</v>
      </c>
      <c r="K115" s="6" t="s">
        <v>21</v>
      </c>
      <c r="L115" s="5" t="s">
        <v>38</v>
      </c>
    </row>
    <row r="116" spans="1:12" x14ac:dyDescent="0.25">
      <c r="A116" s="4" t="s">
        <v>30</v>
      </c>
      <c r="B116" s="5">
        <v>2024</v>
      </c>
      <c r="C116" s="5" t="s">
        <v>20</v>
      </c>
      <c r="D116" s="5">
        <v>61081</v>
      </c>
      <c r="E116" s="5">
        <v>388.2</v>
      </c>
      <c r="F116" s="5">
        <v>284.7</v>
      </c>
      <c r="G116" s="5">
        <v>58.8</v>
      </c>
      <c r="H116" s="5">
        <v>44.7</v>
      </c>
      <c r="I116" s="5">
        <v>171.2</v>
      </c>
      <c r="J116" s="5">
        <v>34.6</v>
      </c>
      <c r="K116" s="6" t="s">
        <v>21</v>
      </c>
      <c r="L116" s="5" t="s">
        <v>37</v>
      </c>
    </row>
    <row r="117" spans="1:12" x14ac:dyDescent="0.25">
      <c r="A117" s="4" t="s">
        <v>30</v>
      </c>
      <c r="B117" s="5">
        <v>2024</v>
      </c>
      <c r="C117" s="5" t="s">
        <v>22</v>
      </c>
      <c r="D117" s="5">
        <v>33642</v>
      </c>
      <c r="E117" s="5">
        <v>394.6</v>
      </c>
      <c r="F117" s="5">
        <v>306.2</v>
      </c>
      <c r="G117" s="5">
        <v>50.5</v>
      </c>
      <c r="H117" s="5">
        <v>37.9</v>
      </c>
      <c r="I117" s="5">
        <v>138.30000000000001</v>
      </c>
      <c r="J117" s="5">
        <v>31.7</v>
      </c>
      <c r="K117" s="6" t="s">
        <v>21</v>
      </c>
      <c r="L117" s="5" t="s">
        <v>37</v>
      </c>
    </row>
    <row r="118" spans="1:12" x14ac:dyDescent="0.25">
      <c r="A118" s="4" t="s">
        <v>30</v>
      </c>
      <c r="B118" s="5">
        <v>2024</v>
      </c>
      <c r="C118" s="5" t="s">
        <v>23</v>
      </c>
      <c r="D118" s="5">
        <v>22754</v>
      </c>
      <c r="E118" s="5">
        <v>349.5</v>
      </c>
      <c r="F118" s="5">
        <v>266.3</v>
      </c>
      <c r="G118" s="5">
        <v>55</v>
      </c>
      <c r="H118" s="5">
        <v>28.2</v>
      </c>
      <c r="I118" s="5">
        <v>105.8</v>
      </c>
      <c r="J118" s="5">
        <v>30.7</v>
      </c>
      <c r="K118" s="6" t="s">
        <v>21</v>
      </c>
      <c r="L118" s="5" t="s">
        <v>37</v>
      </c>
    </row>
    <row r="119" spans="1:12" x14ac:dyDescent="0.25">
      <c r="A119" s="4" t="s">
        <v>30</v>
      </c>
      <c r="B119" s="5">
        <v>2024</v>
      </c>
      <c r="C119" s="5" t="s">
        <v>24</v>
      </c>
      <c r="D119" s="5">
        <v>51153</v>
      </c>
      <c r="E119" s="5">
        <v>287.10000000000002</v>
      </c>
      <c r="F119" s="5">
        <v>209.1</v>
      </c>
      <c r="G119" s="5">
        <v>50.5</v>
      </c>
      <c r="H119" s="5">
        <v>27.5</v>
      </c>
      <c r="I119" s="5">
        <v>60.1</v>
      </c>
      <c r="J119" s="5">
        <v>25.9</v>
      </c>
      <c r="K119" s="6" t="s">
        <v>18</v>
      </c>
      <c r="L119" s="5" t="s">
        <v>36</v>
      </c>
    </row>
    <row r="120" spans="1:12" x14ac:dyDescent="0.25">
      <c r="A120" s="4" t="s">
        <v>30</v>
      </c>
      <c r="B120" s="5">
        <v>2024</v>
      </c>
      <c r="C120" s="5" t="s">
        <v>25</v>
      </c>
      <c r="D120" s="5">
        <v>28338</v>
      </c>
      <c r="E120" s="5">
        <v>247.6</v>
      </c>
      <c r="F120" s="5">
        <v>183.5</v>
      </c>
      <c r="G120" s="5">
        <v>37.799999999999997</v>
      </c>
      <c r="H120" s="5">
        <v>26.3</v>
      </c>
      <c r="I120" s="5">
        <v>5.7</v>
      </c>
      <c r="J120" s="5">
        <v>28.1</v>
      </c>
      <c r="K120" s="6" t="s">
        <v>13</v>
      </c>
      <c r="L120" s="5" t="s">
        <v>36</v>
      </c>
    </row>
    <row r="121" spans="1:12" x14ac:dyDescent="0.25">
      <c r="A121" s="4" t="s">
        <v>30</v>
      </c>
      <c r="B121" s="5">
        <v>2024</v>
      </c>
      <c r="C121" s="5" t="s">
        <v>26</v>
      </c>
      <c r="D121" s="5">
        <v>52664</v>
      </c>
      <c r="E121" s="5">
        <v>231.6</v>
      </c>
      <c r="F121" s="5">
        <v>173.9</v>
      </c>
      <c r="G121" s="5">
        <v>39.1</v>
      </c>
      <c r="H121" s="5">
        <v>18.600000000000001</v>
      </c>
      <c r="I121" s="5">
        <v>1.5</v>
      </c>
      <c r="J121" s="5">
        <v>23.1</v>
      </c>
      <c r="K121" s="6" t="s">
        <v>13</v>
      </c>
      <c r="L121" s="5" t="s">
        <v>36</v>
      </c>
    </row>
    <row r="122" spans="1:12" x14ac:dyDescent="0.25">
      <c r="A122" s="4" t="s">
        <v>31</v>
      </c>
      <c r="B122" s="5">
        <v>2023</v>
      </c>
      <c r="C122" s="5" t="s">
        <v>12</v>
      </c>
      <c r="D122" s="5">
        <v>26800</v>
      </c>
      <c r="E122" s="5">
        <v>217.2</v>
      </c>
      <c r="F122" s="5">
        <v>158.69999999999999</v>
      </c>
      <c r="G122" s="5">
        <v>37.700000000000003</v>
      </c>
      <c r="H122" s="5">
        <v>20.8</v>
      </c>
      <c r="I122" s="5">
        <v>4.7</v>
      </c>
      <c r="J122" s="5">
        <v>21.1</v>
      </c>
      <c r="K122" s="6" t="s">
        <v>13</v>
      </c>
      <c r="L122" s="5" t="s">
        <v>36</v>
      </c>
    </row>
    <row r="123" spans="1:12" x14ac:dyDescent="0.25">
      <c r="A123" s="4" t="s">
        <v>31</v>
      </c>
      <c r="B123" s="5">
        <v>2023</v>
      </c>
      <c r="C123" s="5" t="s">
        <v>14</v>
      </c>
      <c r="D123" s="5">
        <v>31803</v>
      </c>
      <c r="E123" s="5">
        <v>206.8</v>
      </c>
      <c r="F123" s="5">
        <v>154.1</v>
      </c>
      <c r="G123" s="5">
        <v>27.3</v>
      </c>
      <c r="H123" s="5">
        <v>25.4</v>
      </c>
      <c r="I123" s="5">
        <v>2.8</v>
      </c>
      <c r="J123" s="5">
        <v>24.1</v>
      </c>
      <c r="K123" s="6" t="s">
        <v>13</v>
      </c>
      <c r="L123" s="5" t="s">
        <v>36</v>
      </c>
    </row>
    <row r="124" spans="1:12" x14ac:dyDescent="0.25">
      <c r="A124" s="4" t="s">
        <v>31</v>
      </c>
      <c r="B124" s="5">
        <v>2023</v>
      </c>
      <c r="C124" s="5" t="s">
        <v>15</v>
      </c>
      <c r="D124" s="5">
        <v>21329</v>
      </c>
      <c r="E124" s="5">
        <v>232.9</v>
      </c>
      <c r="F124" s="5">
        <v>179.1</v>
      </c>
      <c r="G124" s="5">
        <v>33.9</v>
      </c>
      <c r="H124" s="5">
        <v>19.899999999999999</v>
      </c>
      <c r="I124" s="5">
        <v>11.9</v>
      </c>
      <c r="J124" s="5">
        <v>29.1</v>
      </c>
      <c r="K124" s="6" t="s">
        <v>13</v>
      </c>
      <c r="L124" s="5" t="s">
        <v>39</v>
      </c>
    </row>
    <row r="125" spans="1:12" x14ac:dyDescent="0.25">
      <c r="A125" s="4" t="s">
        <v>31</v>
      </c>
      <c r="B125" s="5">
        <v>2023</v>
      </c>
      <c r="C125" s="5" t="s">
        <v>16</v>
      </c>
      <c r="D125" s="5">
        <v>59753</v>
      </c>
      <c r="E125" s="5">
        <v>263.60000000000002</v>
      </c>
      <c r="F125" s="5">
        <v>192.8</v>
      </c>
      <c r="G125" s="5">
        <v>34.200000000000003</v>
      </c>
      <c r="H125" s="5">
        <v>36.6</v>
      </c>
      <c r="I125" s="5">
        <v>3.4</v>
      </c>
      <c r="J125" s="5">
        <v>33.799999999999997</v>
      </c>
      <c r="K125" s="6" t="s">
        <v>18</v>
      </c>
      <c r="L125" s="5" t="s">
        <v>38</v>
      </c>
    </row>
    <row r="126" spans="1:12" x14ac:dyDescent="0.25">
      <c r="A126" s="4" t="s">
        <v>31</v>
      </c>
      <c r="B126" s="5">
        <v>2023</v>
      </c>
      <c r="C126" s="5" t="s">
        <v>17</v>
      </c>
      <c r="D126" s="5">
        <v>25331</v>
      </c>
      <c r="E126" s="5">
        <v>293</v>
      </c>
      <c r="F126" s="5">
        <v>217.5</v>
      </c>
      <c r="G126" s="5">
        <v>50.7</v>
      </c>
      <c r="H126" s="5">
        <v>24.8</v>
      </c>
      <c r="I126" s="5">
        <v>38.299999999999997</v>
      </c>
      <c r="J126" s="5">
        <v>35.9</v>
      </c>
      <c r="K126" s="6" t="s">
        <v>18</v>
      </c>
      <c r="L126" s="5" t="s">
        <v>38</v>
      </c>
    </row>
    <row r="127" spans="1:12" x14ac:dyDescent="0.25">
      <c r="A127" s="4" t="s">
        <v>31</v>
      </c>
      <c r="B127" s="5">
        <v>2023</v>
      </c>
      <c r="C127" s="5" t="s">
        <v>19</v>
      </c>
      <c r="D127" s="5">
        <v>56175</v>
      </c>
      <c r="E127" s="5">
        <v>347.2</v>
      </c>
      <c r="F127" s="5">
        <v>257.3</v>
      </c>
      <c r="G127" s="5">
        <v>50.6</v>
      </c>
      <c r="H127" s="5">
        <v>39.299999999999997</v>
      </c>
      <c r="I127" s="5">
        <v>104.2</v>
      </c>
      <c r="J127" s="5">
        <v>38.4</v>
      </c>
      <c r="K127" s="6" t="s">
        <v>21</v>
      </c>
      <c r="L127" s="5" t="s">
        <v>38</v>
      </c>
    </row>
    <row r="128" spans="1:12" x14ac:dyDescent="0.25">
      <c r="A128" s="4" t="s">
        <v>31</v>
      </c>
      <c r="B128" s="5">
        <v>2023</v>
      </c>
      <c r="C128" s="5" t="s">
        <v>20</v>
      </c>
      <c r="D128" s="5">
        <v>20614</v>
      </c>
      <c r="E128" s="5">
        <v>368.1</v>
      </c>
      <c r="F128" s="5">
        <v>270</v>
      </c>
      <c r="G128" s="5">
        <v>48.8</v>
      </c>
      <c r="H128" s="5">
        <v>49.3</v>
      </c>
      <c r="I128" s="5">
        <v>165</v>
      </c>
      <c r="J128" s="5">
        <v>35.700000000000003</v>
      </c>
      <c r="K128" s="6" t="s">
        <v>21</v>
      </c>
      <c r="L128" s="5" t="s">
        <v>37</v>
      </c>
    </row>
    <row r="129" spans="1:12" x14ac:dyDescent="0.25">
      <c r="A129" s="4" t="s">
        <v>31</v>
      </c>
      <c r="B129" s="5">
        <v>2023</v>
      </c>
      <c r="C129" s="5" t="s">
        <v>22</v>
      </c>
      <c r="D129" s="5">
        <v>44632</v>
      </c>
      <c r="E129" s="5">
        <v>356.5</v>
      </c>
      <c r="F129" s="5">
        <v>248.3</v>
      </c>
      <c r="G129" s="5">
        <v>58.8</v>
      </c>
      <c r="H129" s="5">
        <v>49.4</v>
      </c>
      <c r="I129" s="5">
        <v>151.6</v>
      </c>
      <c r="J129" s="5">
        <v>32.5</v>
      </c>
      <c r="K129" s="6" t="s">
        <v>21</v>
      </c>
      <c r="L129" s="5" t="s">
        <v>37</v>
      </c>
    </row>
    <row r="130" spans="1:12" x14ac:dyDescent="0.25">
      <c r="A130" s="4" t="s">
        <v>31</v>
      </c>
      <c r="B130" s="5">
        <v>2023</v>
      </c>
      <c r="C130" s="5" t="s">
        <v>23</v>
      </c>
      <c r="D130" s="5">
        <v>29603</v>
      </c>
      <c r="E130" s="5">
        <v>296.7</v>
      </c>
      <c r="F130" s="5">
        <v>221.3</v>
      </c>
      <c r="G130" s="5">
        <v>36</v>
      </c>
      <c r="H130" s="5">
        <v>39.4</v>
      </c>
      <c r="I130" s="5">
        <v>109.2</v>
      </c>
      <c r="J130" s="5">
        <v>29.7</v>
      </c>
      <c r="K130" s="6" t="s">
        <v>18</v>
      </c>
      <c r="L130" s="5" t="s">
        <v>37</v>
      </c>
    </row>
    <row r="131" spans="1:12" x14ac:dyDescent="0.25">
      <c r="A131" s="4" t="s">
        <v>31</v>
      </c>
      <c r="B131" s="5">
        <v>2023</v>
      </c>
      <c r="C131" s="5" t="s">
        <v>24</v>
      </c>
      <c r="D131" s="5">
        <v>61903</v>
      </c>
      <c r="E131" s="5">
        <v>267.39999999999998</v>
      </c>
      <c r="F131" s="5">
        <v>187</v>
      </c>
      <c r="G131" s="5">
        <v>45.1</v>
      </c>
      <c r="H131" s="5">
        <v>35.299999999999997</v>
      </c>
      <c r="I131" s="5">
        <v>43.1</v>
      </c>
      <c r="J131" s="5">
        <v>30.6</v>
      </c>
      <c r="K131" s="6" t="s">
        <v>18</v>
      </c>
      <c r="L131" s="5" t="s">
        <v>36</v>
      </c>
    </row>
    <row r="132" spans="1:12" x14ac:dyDescent="0.25">
      <c r="A132" s="4" t="s">
        <v>31</v>
      </c>
      <c r="B132" s="5">
        <v>2023</v>
      </c>
      <c r="C132" s="5" t="s">
        <v>25</v>
      </c>
      <c r="D132" s="5">
        <v>20537</v>
      </c>
      <c r="E132" s="5">
        <v>215.8</v>
      </c>
      <c r="F132" s="5">
        <v>158.6</v>
      </c>
      <c r="G132" s="5">
        <v>28.8</v>
      </c>
      <c r="H132" s="5">
        <v>28.4</v>
      </c>
      <c r="I132" s="5">
        <v>19.5</v>
      </c>
      <c r="J132" s="5">
        <v>22.5</v>
      </c>
      <c r="K132" s="6" t="s">
        <v>13</v>
      </c>
      <c r="L132" s="5" t="s">
        <v>36</v>
      </c>
    </row>
    <row r="133" spans="1:12" x14ac:dyDescent="0.25">
      <c r="A133" s="4" t="s">
        <v>31</v>
      </c>
      <c r="B133" s="5">
        <v>2023</v>
      </c>
      <c r="C133" s="5" t="s">
        <v>26</v>
      </c>
      <c r="D133" s="5">
        <v>32915</v>
      </c>
      <c r="E133" s="5">
        <v>196.7</v>
      </c>
      <c r="F133" s="5">
        <v>146.9</v>
      </c>
      <c r="G133" s="5">
        <v>31.4</v>
      </c>
      <c r="H133" s="5">
        <v>18.399999999999999</v>
      </c>
      <c r="I133" s="5">
        <v>0</v>
      </c>
      <c r="J133" s="5">
        <v>21.7</v>
      </c>
      <c r="K133" s="6" t="s">
        <v>13</v>
      </c>
      <c r="L133" s="5" t="s">
        <v>36</v>
      </c>
    </row>
    <row r="134" spans="1:12" x14ac:dyDescent="0.25">
      <c r="A134" s="4" t="s">
        <v>31</v>
      </c>
      <c r="B134" s="5">
        <v>2024</v>
      </c>
      <c r="C134" s="5" t="s">
        <v>12</v>
      </c>
      <c r="D134" s="5">
        <v>36292</v>
      </c>
      <c r="E134" s="5">
        <v>196.4</v>
      </c>
      <c r="F134" s="5">
        <v>147</v>
      </c>
      <c r="G134" s="5">
        <v>29.6</v>
      </c>
      <c r="H134" s="5">
        <v>19.8</v>
      </c>
      <c r="I134" s="5">
        <v>0</v>
      </c>
      <c r="J134" s="5">
        <v>19.399999999999999</v>
      </c>
      <c r="K134" s="6" t="s">
        <v>13</v>
      </c>
      <c r="L134" s="5" t="s">
        <v>36</v>
      </c>
    </row>
    <row r="135" spans="1:12" x14ac:dyDescent="0.25">
      <c r="A135" s="4" t="s">
        <v>31</v>
      </c>
      <c r="B135" s="5">
        <v>2024</v>
      </c>
      <c r="C135" s="5" t="s">
        <v>14</v>
      </c>
      <c r="D135" s="5">
        <v>19808</v>
      </c>
      <c r="E135" s="5">
        <v>207.9</v>
      </c>
      <c r="F135" s="5">
        <v>152.69999999999999</v>
      </c>
      <c r="G135" s="5">
        <v>37.1</v>
      </c>
      <c r="H135" s="5">
        <v>18.100000000000001</v>
      </c>
      <c r="I135" s="5">
        <v>19.100000000000001</v>
      </c>
      <c r="J135" s="5">
        <v>28.5</v>
      </c>
      <c r="K135" s="6" t="s">
        <v>13</v>
      </c>
      <c r="L135" s="5" t="s">
        <v>36</v>
      </c>
    </row>
    <row r="136" spans="1:12" x14ac:dyDescent="0.25">
      <c r="A136" s="4" t="s">
        <v>31</v>
      </c>
      <c r="B136" s="5">
        <v>2024</v>
      </c>
      <c r="C136" s="5" t="s">
        <v>15</v>
      </c>
      <c r="D136" s="5">
        <v>25104</v>
      </c>
      <c r="E136" s="5">
        <v>227.6</v>
      </c>
      <c r="F136" s="5">
        <v>169.2</v>
      </c>
      <c r="G136" s="5">
        <v>32</v>
      </c>
      <c r="H136" s="5">
        <v>26.4</v>
      </c>
      <c r="I136" s="5">
        <v>14.4</v>
      </c>
      <c r="J136" s="5">
        <v>27.4</v>
      </c>
      <c r="K136" s="6" t="s">
        <v>13</v>
      </c>
      <c r="L136" s="5" t="s">
        <v>39</v>
      </c>
    </row>
    <row r="137" spans="1:12" x14ac:dyDescent="0.25">
      <c r="A137" s="4" t="s">
        <v>31</v>
      </c>
      <c r="B137" s="5">
        <v>2024</v>
      </c>
      <c r="C137" s="5" t="s">
        <v>16</v>
      </c>
      <c r="D137" s="5">
        <v>25578</v>
      </c>
      <c r="E137" s="5">
        <v>268.7</v>
      </c>
      <c r="F137" s="5">
        <v>199.5</v>
      </c>
      <c r="G137" s="5">
        <v>41.5</v>
      </c>
      <c r="H137" s="5">
        <v>27.7</v>
      </c>
      <c r="I137" s="5">
        <v>17.5</v>
      </c>
      <c r="J137" s="5">
        <v>35.4</v>
      </c>
      <c r="K137" s="6" t="s">
        <v>18</v>
      </c>
      <c r="L137" s="5" t="s">
        <v>38</v>
      </c>
    </row>
    <row r="138" spans="1:12" x14ac:dyDescent="0.25">
      <c r="A138" s="4" t="s">
        <v>31</v>
      </c>
      <c r="B138" s="5">
        <v>2024</v>
      </c>
      <c r="C138" s="5" t="s">
        <v>17</v>
      </c>
      <c r="D138" s="5">
        <v>53287</v>
      </c>
      <c r="E138" s="5">
        <v>279.5</v>
      </c>
      <c r="F138" s="5">
        <v>196.3</v>
      </c>
      <c r="G138" s="5">
        <v>49.3</v>
      </c>
      <c r="H138" s="5">
        <v>33.9</v>
      </c>
      <c r="I138" s="5">
        <v>27.5</v>
      </c>
      <c r="J138" s="5">
        <v>36</v>
      </c>
      <c r="K138" s="6" t="s">
        <v>18</v>
      </c>
      <c r="L138" s="5" t="s">
        <v>38</v>
      </c>
    </row>
    <row r="139" spans="1:12" x14ac:dyDescent="0.25">
      <c r="A139" s="4" t="s">
        <v>31</v>
      </c>
      <c r="B139" s="5">
        <v>2024</v>
      </c>
      <c r="C139" s="5" t="s">
        <v>19</v>
      </c>
      <c r="D139" s="5">
        <v>61531</v>
      </c>
      <c r="E139" s="5">
        <v>337.6</v>
      </c>
      <c r="F139" s="5">
        <v>238.8</v>
      </c>
      <c r="G139" s="5">
        <v>53.1</v>
      </c>
      <c r="H139" s="5">
        <v>45.7</v>
      </c>
      <c r="I139" s="5">
        <v>92.3</v>
      </c>
      <c r="J139" s="5">
        <v>37.299999999999997</v>
      </c>
      <c r="K139" s="6" t="s">
        <v>21</v>
      </c>
      <c r="L139" s="5" t="s">
        <v>38</v>
      </c>
    </row>
    <row r="140" spans="1:12" x14ac:dyDescent="0.25">
      <c r="A140" s="4" t="s">
        <v>31</v>
      </c>
      <c r="B140" s="5">
        <v>2024</v>
      </c>
      <c r="C140" s="5" t="s">
        <v>20</v>
      </c>
      <c r="D140" s="5">
        <v>51234</v>
      </c>
      <c r="E140" s="5">
        <v>367.4</v>
      </c>
      <c r="F140" s="5">
        <v>278.10000000000002</v>
      </c>
      <c r="G140" s="5">
        <v>53.1</v>
      </c>
      <c r="H140" s="5">
        <v>36.200000000000003</v>
      </c>
      <c r="I140" s="5">
        <v>158.19999999999999</v>
      </c>
      <c r="J140" s="5">
        <v>35.700000000000003</v>
      </c>
      <c r="K140" s="6" t="s">
        <v>21</v>
      </c>
      <c r="L140" s="5" t="s">
        <v>37</v>
      </c>
    </row>
    <row r="141" spans="1:12" x14ac:dyDescent="0.25">
      <c r="A141" s="4" t="s">
        <v>31</v>
      </c>
      <c r="B141" s="5">
        <v>2024</v>
      </c>
      <c r="C141" s="5" t="s">
        <v>22</v>
      </c>
      <c r="D141" s="5">
        <v>45554</v>
      </c>
      <c r="E141" s="5">
        <v>340.9</v>
      </c>
      <c r="F141" s="5">
        <v>251.3</v>
      </c>
      <c r="G141" s="5">
        <v>48.7</v>
      </c>
      <c r="H141" s="5">
        <v>40.9</v>
      </c>
      <c r="I141" s="5">
        <v>144.9</v>
      </c>
      <c r="J141" s="5">
        <v>32.1</v>
      </c>
      <c r="K141" s="6" t="s">
        <v>21</v>
      </c>
      <c r="L141" s="5" t="s">
        <v>37</v>
      </c>
    </row>
    <row r="142" spans="1:12" x14ac:dyDescent="0.25">
      <c r="A142" s="4" t="s">
        <v>31</v>
      </c>
      <c r="B142" s="5">
        <v>2024</v>
      </c>
      <c r="C142" s="5" t="s">
        <v>23</v>
      </c>
      <c r="D142" s="5">
        <v>44612</v>
      </c>
      <c r="E142" s="5">
        <v>306.39999999999998</v>
      </c>
      <c r="F142" s="5">
        <v>235</v>
      </c>
      <c r="G142" s="5">
        <v>36.799999999999997</v>
      </c>
      <c r="H142" s="5">
        <v>34.6</v>
      </c>
      <c r="I142" s="5">
        <v>107.6</v>
      </c>
      <c r="J142" s="5">
        <v>32.5</v>
      </c>
      <c r="K142" s="6" t="s">
        <v>21</v>
      </c>
      <c r="L142" s="5" t="s">
        <v>37</v>
      </c>
    </row>
    <row r="143" spans="1:12" x14ac:dyDescent="0.25">
      <c r="A143" s="4" t="s">
        <v>31</v>
      </c>
      <c r="B143" s="5">
        <v>2024</v>
      </c>
      <c r="C143" s="5" t="s">
        <v>24</v>
      </c>
      <c r="D143" s="5">
        <v>60906</v>
      </c>
      <c r="E143" s="5">
        <v>259</v>
      </c>
      <c r="F143" s="5">
        <v>195.4</v>
      </c>
      <c r="G143" s="5">
        <v>37.9</v>
      </c>
      <c r="H143" s="5">
        <v>25.7</v>
      </c>
      <c r="I143" s="5">
        <v>39.6</v>
      </c>
      <c r="J143" s="5">
        <v>26.4</v>
      </c>
      <c r="K143" s="6" t="s">
        <v>18</v>
      </c>
      <c r="L143" s="5" t="s">
        <v>36</v>
      </c>
    </row>
    <row r="144" spans="1:12" x14ac:dyDescent="0.25">
      <c r="A144" s="4" t="s">
        <v>31</v>
      </c>
      <c r="B144" s="5">
        <v>2024</v>
      </c>
      <c r="C144" s="5" t="s">
        <v>25</v>
      </c>
      <c r="D144" s="5">
        <v>29120</v>
      </c>
      <c r="E144" s="5">
        <v>232.3</v>
      </c>
      <c r="F144" s="5">
        <v>172.7</v>
      </c>
      <c r="G144" s="5">
        <v>31.8</v>
      </c>
      <c r="H144" s="5">
        <v>27.8</v>
      </c>
      <c r="I144" s="5">
        <v>7.8</v>
      </c>
      <c r="J144" s="5">
        <v>22.2</v>
      </c>
      <c r="K144" s="6" t="s">
        <v>13</v>
      </c>
      <c r="L144" s="5" t="s">
        <v>36</v>
      </c>
    </row>
    <row r="145" spans="1:12" x14ac:dyDescent="0.25">
      <c r="A145" s="4" t="s">
        <v>31</v>
      </c>
      <c r="B145" s="5">
        <v>2024</v>
      </c>
      <c r="C145" s="5" t="s">
        <v>26</v>
      </c>
      <c r="D145" s="5">
        <v>33392</v>
      </c>
      <c r="E145" s="5">
        <v>191.6</v>
      </c>
      <c r="F145" s="5">
        <v>142.9</v>
      </c>
      <c r="G145" s="5">
        <v>25.6</v>
      </c>
      <c r="H145" s="5">
        <v>23.1</v>
      </c>
      <c r="I145" s="5">
        <v>6.7</v>
      </c>
      <c r="J145" s="5">
        <v>21.3</v>
      </c>
      <c r="K145" s="6" t="s">
        <v>13</v>
      </c>
      <c r="L145" s="5" t="s">
        <v>36</v>
      </c>
    </row>
    <row r="146" spans="1:12" x14ac:dyDescent="0.25">
      <c r="A146" s="4" t="s">
        <v>32</v>
      </c>
      <c r="B146" s="5">
        <v>2023</v>
      </c>
      <c r="C146" s="5" t="s">
        <v>12</v>
      </c>
      <c r="D146" s="5">
        <v>35337</v>
      </c>
      <c r="E146" s="5">
        <v>180</v>
      </c>
      <c r="F146" s="5">
        <v>128.69999999999999</v>
      </c>
      <c r="G146" s="5">
        <v>28.4</v>
      </c>
      <c r="H146" s="5">
        <v>22.9</v>
      </c>
      <c r="I146" s="5">
        <v>0</v>
      </c>
      <c r="J146" s="5">
        <v>19</v>
      </c>
      <c r="K146" s="6" t="s">
        <v>13</v>
      </c>
      <c r="L146" s="5" t="s">
        <v>36</v>
      </c>
    </row>
    <row r="147" spans="1:12" x14ac:dyDescent="0.25">
      <c r="A147" s="4" t="s">
        <v>32</v>
      </c>
      <c r="B147" s="5">
        <v>2023</v>
      </c>
      <c r="C147" s="5" t="s">
        <v>14</v>
      </c>
      <c r="D147" s="5">
        <v>53688</v>
      </c>
      <c r="E147" s="5">
        <v>178.2</v>
      </c>
      <c r="F147" s="5">
        <v>138.5</v>
      </c>
      <c r="G147" s="5">
        <v>23</v>
      </c>
      <c r="H147" s="5">
        <v>16.7</v>
      </c>
      <c r="I147" s="5">
        <v>7.5</v>
      </c>
      <c r="J147" s="5">
        <v>25.8</v>
      </c>
      <c r="K147" s="6" t="s">
        <v>13</v>
      </c>
      <c r="L147" s="5" t="s">
        <v>36</v>
      </c>
    </row>
    <row r="148" spans="1:12" x14ac:dyDescent="0.25">
      <c r="A148" s="4" t="s">
        <v>32</v>
      </c>
      <c r="B148" s="5">
        <v>2023</v>
      </c>
      <c r="C148" s="5" t="s">
        <v>15</v>
      </c>
      <c r="D148" s="5">
        <v>38159</v>
      </c>
      <c r="E148" s="5">
        <v>187.4</v>
      </c>
      <c r="F148" s="5">
        <v>133.9</v>
      </c>
      <c r="G148" s="5">
        <v>31.8</v>
      </c>
      <c r="H148" s="5">
        <v>21.7</v>
      </c>
      <c r="I148" s="5">
        <v>21.5</v>
      </c>
      <c r="J148" s="5">
        <v>28.2</v>
      </c>
      <c r="K148" s="6" t="s">
        <v>13</v>
      </c>
      <c r="L148" s="5" t="s">
        <v>39</v>
      </c>
    </row>
    <row r="149" spans="1:12" x14ac:dyDescent="0.25">
      <c r="A149" s="4" t="s">
        <v>32</v>
      </c>
      <c r="B149" s="5">
        <v>2023</v>
      </c>
      <c r="C149" s="5" t="s">
        <v>16</v>
      </c>
      <c r="D149" s="5">
        <v>37928</v>
      </c>
      <c r="E149" s="5">
        <v>217.5</v>
      </c>
      <c r="F149" s="5">
        <v>152.6</v>
      </c>
      <c r="G149" s="5">
        <v>38.4</v>
      </c>
      <c r="H149" s="5">
        <v>26.5</v>
      </c>
      <c r="I149" s="5">
        <v>6.3</v>
      </c>
      <c r="J149" s="5">
        <v>33</v>
      </c>
      <c r="K149" s="6" t="s">
        <v>13</v>
      </c>
      <c r="L149" s="5" t="s">
        <v>38</v>
      </c>
    </row>
    <row r="150" spans="1:12" x14ac:dyDescent="0.25">
      <c r="A150" s="4" t="s">
        <v>32</v>
      </c>
      <c r="B150" s="5">
        <v>2023</v>
      </c>
      <c r="C150" s="5" t="s">
        <v>17</v>
      </c>
      <c r="D150" s="5">
        <v>20612</v>
      </c>
      <c r="E150" s="5">
        <v>237.4</v>
      </c>
      <c r="F150" s="5">
        <v>166.7</v>
      </c>
      <c r="G150" s="5">
        <v>39</v>
      </c>
      <c r="H150" s="5">
        <v>31.7</v>
      </c>
      <c r="I150" s="5">
        <v>26.2</v>
      </c>
      <c r="J150" s="5">
        <v>36.799999999999997</v>
      </c>
      <c r="K150" s="6" t="s">
        <v>13</v>
      </c>
      <c r="L150" s="5" t="s">
        <v>38</v>
      </c>
    </row>
    <row r="151" spans="1:12" x14ac:dyDescent="0.25">
      <c r="A151" s="4" t="s">
        <v>32</v>
      </c>
      <c r="B151" s="5">
        <v>2023</v>
      </c>
      <c r="C151" s="5" t="s">
        <v>19</v>
      </c>
      <c r="D151" s="5">
        <v>62190</v>
      </c>
      <c r="E151" s="5">
        <v>281.5</v>
      </c>
      <c r="F151" s="5">
        <v>201.4</v>
      </c>
      <c r="G151" s="5">
        <v>43.5</v>
      </c>
      <c r="H151" s="5">
        <v>36.6</v>
      </c>
      <c r="I151" s="5">
        <v>132.5</v>
      </c>
      <c r="J151" s="5">
        <v>36.200000000000003</v>
      </c>
      <c r="K151" s="6" t="s">
        <v>18</v>
      </c>
      <c r="L151" s="5" t="s">
        <v>38</v>
      </c>
    </row>
    <row r="152" spans="1:12" x14ac:dyDescent="0.25">
      <c r="A152" s="4" t="s">
        <v>32</v>
      </c>
      <c r="B152" s="5">
        <v>2023</v>
      </c>
      <c r="C152" s="5" t="s">
        <v>20</v>
      </c>
      <c r="D152" s="5">
        <v>35662</v>
      </c>
      <c r="E152" s="5">
        <v>307.89999999999998</v>
      </c>
      <c r="F152" s="5">
        <v>221.6</v>
      </c>
      <c r="G152" s="5">
        <v>51</v>
      </c>
      <c r="H152" s="5">
        <v>35.299999999999997</v>
      </c>
      <c r="I152" s="5">
        <v>170.5</v>
      </c>
      <c r="J152" s="5">
        <v>36.6</v>
      </c>
      <c r="K152" s="6" t="s">
        <v>21</v>
      </c>
      <c r="L152" s="5" t="s">
        <v>37</v>
      </c>
    </row>
    <row r="153" spans="1:12" x14ac:dyDescent="0.25">
      <c r="A153" s="4" t="s">
        <v>32</v>
      </c>
      <c r="B153" s="5">
        <v>2023</v>
      </c>
      <c r="C153" s="5" t="s">
        <v>22</v>
      </c>
      <c r="D153" s="5">
        <v>36229</v>
      </c>
      <c r="E153" s="5">
        <v>295.60000000000002</v>
      </c>
      <c r="F153" s="5">
        <v>222.8</v>
      </c>
      <c r="G153" s="5">
        <v>45.9</v>
      </c>
      <c r="H153" s="5">
        <v>26.9</v>
      </c>
      <c r="I153" s="5">
        <v>137.30000000000001</v>
      </c>
      <c r="J153" s="5">
        <v>31.7</v>
      </c>
      <c r="K153" s="6" t="s">
        <v>18</v>
      </c>
      <c r="L153" s="5" t="s">
        <v>37</v>
      </c>
    </row>
    <row r="154" spans="1:12" x14ac:dyDescent="0.25">
      <c r="A154" s="4" t="s">
        <v>32</v>
      </c>
      <c r="B154" s="5">
        <v>2023</v>
      </c>
      <c r="C154" s="5" t="s">
        <v>23</v>
      </c>
      <c r="D154" s="5">
        <v>40803</v>
      </c>
      <c r="E154" s="5">
        <v>248.9</v>
      </c>
      <c r="F154" s="5">
        <v>188.2</v>
      </c>
      <c r="G154" s="5">
        <v>34.700000000000003</v>
      </c>
      <c r="H154" s="5">
        <v>26</v>
      </c>
      <c r="I154" s="5">
        <v>114.7</v>
      </c>
      <c r="J154" s="5">
        <v>31.5</v>
      </c>
      <c r="K154" s="6" t="s">
        <v>13</v>
      </c>
      <c r="L154" s="5" t="s">
        <v>37</v>
      </c>
    </row>
    <row r="155" spans="1:12" x14ac:dyDescent="0.25">
      <c r="A155" s="4" t="s">
        <v>32</v>
      </c>
      <c r="B155" s="5">
        <v>2023</v>
      </c>
      <c r="C155" s="5" t="s">
        <v>24</v>
      </c>
      <c r="D155" s="5">
        <v>50471</v>
      </c>
      <c r="E155" s="5">
        <v>216.1</v>
      </c>
      <c r="F155" s="5">
        <v>156.9</v>
      </c>
      <c r="G155" s="5">
        <v>38.200000000000003</v>
      </c>
      <c r="H155" s="5">
        <v>21</v>
      </c>
      <c r="I155" s="5">
        <v>49.9</v>
      </c>
      <c r="J155" s="5">
        <v>26.3</v>
      </c>
      <c r="K155" s="6" t="s">
        <v>13</v>
      </c>
      <c r="L155" s="5" t="s">
        <v>36</v>
      </c>
    </row>
    <row r="156" spans="1:12" x14ac:dyDescent="0.25">
      <c r="A156" s="4" t="s">
        <v>32</v>
      </c>
      <c r="B156" s="5">
        <v>2023</v>
      </c>
      <c r="C156" s="5" t="s">
        <v>25</v>
      </c>
      <c r="D156" s="5">
        <v>38612</v>
      </c>
      <c r="E156" s="5">
        <v>190.2</v>
      </c>
      <c r="F156" s="5">
        <v>148</v>
      </c>
      <c r="G156" s="5">
        <v>24.1</v>
      </c>
      <c r="H156" s="5">
        <v>18.100000000000001</v>
      </c>
      <c r="I156" s="5">
        <v>17.8</v>
      </c>
      <c r="J156" s="5">
        <v>21</v>
      </c>
      <c r="K156" s="6" t="s">
        <v>13</v>
      </c>
      <c r="L156" s="5" t="s">
        <v>36</v>
      </c>
    </row>
    <row r="157" spans="1:12" x14ac:dyDescent="0.25">
      <c r="A157" s="4" t="s">
        <v>32</v>
      </c>
      <c r="B157" s="5">
        <v>2023</v>
      </c>
      <c r="C157" s="5" t="s">
        <v>26</v>
      </c>
      <c r="D157" s="5">
        <v>18075</v>
      </c>
      <c r="E157" s="5">
        <v>178.8</v>
      </c>
      <c r="F157" s="5">
        <v>130.1</v>
      </c>
      <c r="G157" s="5">
        <v>27.3</v>
      </c>
      <c r="H157" s="5">
        <v>21.4</v>
      </c>
      <c r="I157" s="5">
        <v>0.5</v>
      </c>
      <c r="J157" s="5">
        <v>21.5</v>
      </c>
      <c r="K157" s="6" t="s">
        <v>13</v>
      </c>
      <c r="L157" s="5" t="s">
        <v>36</v>
      </c>
    </row>
    <row r="158" spans="1:12" x14ac:dyDescent="0.25">
      <c r="A158" s="4" t="s">
        <v>32</v>
      </c>
      <c r="B158" s="5">
        <v>2024</v>
      </c>
      <c r="C158" s="5" t="s">
        <v>12</v>
      </c>
      <c r="D158" s="5">
        <v>50669</v>
      </c>
      <c r="E158" s="5">
        <v>172.2</v>
      </c>
      <c r="F158" s="5">
        <v>123.5</v>
      </c>
      <c r="G158" s="5">
        <v>28.5</v>
      </c>
      <c r="H158" s="5">
        <v>20.2</v>
      </c>
      <c r="I158" s="5">
        <v>8.6</v>
      </c>
      <c r="J158" s="5">
        <v>23.8</v>
      </c>
      <c r="K158" s="6" t="s">
        <v>13</v>
      </c>
      <c r="L158" s="5" t="s">
        <v>36</v>
      </c>
    </row>
    <row r="159" spans="1:12" x14ac:dyDescent="0.25">
      <c r="A159" s="4" t="s">
        <v>32</v>
      </c>
      <c r="B159" s="5">
        <v>2024</v>
      </c>
      <c r="C159" s="5" t="s">
        <v>14</v>
      </c>
      <c r="D159" s="5">
        <v>46712</v>
      </c>
      <c r="E159" s="5">
        <v>190.3</v>
      </c>
      <c r="F159" s="5">
        <v>136.6</v>
      </c>
      <c r="G159" s="5">
        <v>28.4</v>
      </c>
      <c r="H159" s="5">
        <v>25.3</v>
      </c>
      <c r="I159" s="5">
        <v>21.9</v>
      </c>
      <c r="J159" s="5">
        <v>25.4</v>
      </c>
      <c r="K159" s="6" t="s">
        <v>13</v>
      </c>
      <c r="L159" s="5" t="s">
        <v>36</v>
      </c>
    </row>
    <row r="160" spans="1:12" x14ac:dyDescent="0.25">
      <c r="A160" s="4" t="s">
        <v>32</v>
      </c>
      <c r="B160" s="5">
        <v>2024</v>
      </c>
      <c r="C160" s="5" t="s">
        <v>15</v>
      </c>
      <c r="D160" s="5">
        <v>64516</v>
      </c>
      <c r="E160" s="5">
        <v>205.2</v>
      </c>
      <c r="F160" s="5">
        <v>155.4</v>
      </c>
      <c r="G160" s="5">
        <v>31.4</v>
      </c>
      <c r="H160" s="5">
        <v>18.399999999999999</v>
      </c>
      <c r="I160" s="5">
        <v>7.8</v>
      </c>
      <c r="J160" s="5">
        <v>28.8</v>
      </c>
      <c r="K160" s="6" t="s">
        <v>13</v>
      </c>
      <c r="L160" s="5" t="s">
        <v>39</v>
      </c>
    </row>
    <row r="161" spans="1:12" x14ac:dyDescent="0.25">
      <c r="A161" s="4" t="s">
        <v>32</v>
      </c>
      <c r="B161" s="5">
        <v>2024</v>
      </c>
      <c r="C161" s="5" t="s">
        <v>16</v>
      </c>
      <c r="D161" s="5">
        <v>25435</v>
      </c>
      <c r="E161" s="5">
        <v>230.1</v>
      </c>
      <c r="F161" s="5">
        <v>176.1</v>
      </c>
      <c r="G161" s="5">
        <v>29.2</v>
      </c>
      <c r="H161" s="5">
        <v>24.8</v>
      </c>
      <c r="I161" s="5">
        <v>23.8</v>
      </c>
      <c r="J161" s="5">
        <v>31.5</v>
      </c>
      <c r="K161" s="6" t="s">
        <v>13</v>
      </c>
      <c r="L161" s="5" t="s">
        <v>38</v>
      </c>
    </row>
    <row r="162" spans="1:12" x14ac:dyDescent="0.25">
      <c r="A162" s="4" t="s">
        <v>32</v>
      </c>
      <c r="B162" s="5">
        <v>2024</v>
      </c>
      <c r="C162" s="5" t="s">
        <v>17</v>
      </c>
      <c r="D162" s="5">
        <v>51349</v>
      </c>
      <c r="E162" s="5">
        <v>252.7</v>
      </c>
      <c r="F162" s="5">
        <v>185.2</v>
      </c>
      <c r="G162" s="5">
        <v>36.6</v>
      </c>
      <c r="H162" s="5">
        <v>30.9</v>
      </c>
      <c r="I162" s="5">
        <v>16.8</v>
      </c>
      <c r="J162" s="5">
        <v>37.200000000000003</v>
      </c>
      <c r="K162" s="6" t="s">
        <v>18</v>
      </c>
      <c r="L162" s="5" t="s">
        <v>38</v>
      </c>
    </row>
    <row r="163" spans="1:12" x14ac:dyDescent="0.25">
      <c r="A163" s="4" t="s">
        <v>32</v>
      </c>
      <c r="B163" s="5">
        <v>2024</v>
      </c>
      <c r="C163" s="5" t="s">
        <v>19</v>
      </c>
      <c r="D163" s="5">
        <v>27479</v>
      </c>
      <c r="E163" s="5">
        <v>287</v>
      </c>
      <c r="F163" s="5">
        <v>207.1</v>
      </c>
      <c r="G163" s="5">
        <v>50.3</v>
      </c>
      <c r="H163" s="5">
        <v>29.6</v>
      </c>
      <c r="I163" s="5">
        <v>74.5</v>
      </c>
      <c r="J163" s="5">
        <v>37.799999999999997</v>
      </c>
      <c r="K163" s="6" t="s">
        <v>18</v>
      </c>
      <c r="L163" s="5" t="s">
        <v>38</v>
      </c>
    </row>
    <row r="164" spans="1:12" x14ac:dyDescent="0.25">
      <c r="A164" s="4" t="s">
        <v>32</v>
      </c>
      <c r="B164" s="5">
        <v>2024</v>
      </c>
      <c r="C164" s="5" t="s">
        <v>20</v>
      </c>
      <c r="D164" s="5">
        <v>36104</v>
      </c>
      <c r="E164" s="5">
        <v>312.5</v>
      </c>
      <c r="F164" s="5">
        <v>219.5</v>
      </c>
      <c r="G164" s="5">
        <v>53.5</v>
      </c>
      <c r="H164" s="5">
        <v>39.5</v>
      </c>
      <c r="I164" s="5">
        <v>155.6</v>
      </c>
      <c r="J164" s="5">
        <v>37.200000000000003</v>
      </c>
      <c r="K164" s="6" t="s">
        <v>21</v>
      </c>
      <c r="L164" s="5" t="s">
        <v>37</v>
      </c>
    </row>
    <row r="165" spans="1:12" x14ac:dyDescent="0.25">
      <c r="A165" s="4" t="s">
        <v>32</v>
      </c>
      <c r="B165" s="5">
        <v>2024</v>
      </c>
      <c r="C165" s="5" t="s">
        <v>22</v>
      </c>
      <c r="D165" s="5">
        <v>18168</v>
      </c>
      <c r="E165" s="5">
        <v>291.39999999999998</v>
      </c>
      <c r="F165" s="5">
        <v>222.9</v>
      </c>
      <c r="G165" s="5">
        <v>40.200000000000003</v>
      </c>
      <c r="H165" s="5">
        <v>28.3</v>
      </c>
      <c r="I165" s="5">
        <v>113.5</v>
      </c>
      <c r="J165" s="5">
        <v>30.1</v>
      </c>
      <c r="K165" s="6" t="s">
        <v>18</v>
      </c>
      <c r="L165" s="5" t="s">
        <v>37</v>
      </c>
    </row>
    <row r="166" spans="1:12" x14ac:dyDescent="0.25">
      <c r="A166" s="4" t="s">
        <v>32</v>
      </c>
      <c r="B166" s="5">
        <v>2024</v>
      </c>
      <c r="C166" s="5" t="s">
        <v>23</v>
      </c>
      <c r="D166" s="5">
        <v>27738</v>
      </c>
      <c r="E166" s="5">
        <v>258.5</v>
      </c>
      <c r="F166" s="5">
        <v>192.4</v>
      </c>
      <c r="G166" s="5">
        <v>38.5</v>
      </c>
      <c r="H166" s="5">
        <v>27.6</v>
      </c>
      <c r="I166" s="5">
        <v>101.6</v>
      </c>
      <c r="J166" s="5">
        <v>33.200000000000003</v>
      </c>
      <c r="K166" s="6" t="s">
        <v>18</v>
      </c>
      <c r="L166" s="5" t="s">
        <v>37</v>
      </c>
    </row>
    <row r="167" spans="1:12" x14ac:dyDescent="0.25">
      <c r="A167" s="4" t="s">
        <v>32</v>
      </c>
      <c r="B167" s="5">
        <v>2024</v>
      </c>
      <c r="C167" s="5" t="s">
        <v>24</v>
      </c>
      <c r="D167" s="5">
        <v>39088</v>
      </c>
      <c r="E167" s="5">
        <v>215.3</v>
      </c>
      <c r="F167" s="5">
        <v>148.30000000000001</v>
      </c>
      <c r="G167" s="5">
        <v>38.5</v>
      </c>
      <c r="H167" s="5">
        <v>28.5</v>
      </c>
      <c r="I167" s="5">
        <v>45.7</v>
      </c>
      <c r="J167" s="5">
        <v>29.5</v>
      </c>
      <c r="K167" s="6" t="s">
        <v>13</v>
      </c>
      <c r="L167" s="5" t="s">
        <v>36</v>
      </c>
    </row>
    <row r="168" spans="1:12" x14ac:dyDescent="0.25">
      <c r="A168" s="4" t="s">
        <v>32</v>
      </c>
      <c r="B168" s="5">
        <v>2024</v>
      </c>
      <c r="C168" s="5" t="s">
        <v>25</v>
      </c>
      <c r="D168" s="5">
        <v>44920</v>
      </c>
      <c r="E168" s="5">
        <v>199.8</v>
      </c>
      <c r="F168" s="5">
        <v>150.4</v>
      </c>
      <c r="G168" s="5">
        <v>32.9</v>
      </c>
      <c r="H168" s="5">
        <v>16.5</v>
      </c>
      <c r="I168" s="5">
        <v>9.9</v>
      </c>
      <c r="J168" s="5">
        <v>21.4</v>
      </c>
      <c r="K168" s="6" t="s">
        <v>13</v>
      </c>
      <c r="L168" s="5" t="s">
        <v>36</v>
      </c>
    </row>
    <row r="169" spans="1:12" x14ac:dyDescent="0.25">
      <c r="A169" s="4" t="s">
        <v>32</v>
      </c>
      <c r="B169" s="5">
        <v>2024</v>
      </c>
      <c r="C169" s="5" t="s">
        <v>26</v>
      </c>
      <c r="D169" s="5">
        <v>61495</v>
      </c>
      <c r="E169" s="5">
        <v>168.3</v>
      </c>
      <c r="F169" s="5">
        <v>120</v>
      </c>
      <c r="G169" s="5">
        <v>26.8</v>
      </c>
      <c r="H169" s="5">
        <v>21.5</v>
      </c>
      <c r="I169" s="5">
        <v>20.9</v>
      </c>
      <c r="J169" s="5">
        <v>24.2</v>
      </c>
      <c r="K169" s="6" t="s">
        <v>13</v>
      </c>
      <c r="L169" s="5" t="s">
        <v>36</v>
      </c>
    </row>
    <row r="170" spans="1:12" x14ac:dyDescent="0.25">
      <c r="A170" s="4" t="s">
        <v>33</v>
      </c>
      <c r="B170" s="5">
        <v>2023</v>
      </c>
      <c r="C170" s="5" t="s">
        <v>12</v>
      </c>
      <c r="D170" s="5">
        <v>25933</v>
      </c>
      <c r="E170" s="5">
        <v>183.8</v>
      </c>
      <c r="F170" s="5">
        <v>132</v>
      </c>
      <c r="G170" s="5">
        <v>28.3</v>
      </c>
      <c r="H170" s="5">
        <v>23.5</v>
      </c>
      <c r="I170" s="5">
        <v>16.899999999999999</v>
      </c>
      <c r="J170" s="5">
        <v>22.5</v>
      </c>
      <c r="K170" s="6" t="s">
        <v>13</v>
      </c>
      <c r="L170" s="5" t="s">
        <v>36</v>
      </c>
    </row>
    <row r="171" spans="1:12" x14ac:dyDescent="0.25">
      <c r="A171" s="4" t="s">
        <v>33</v>
      </c>
      <c r="B171" s="5">
        <v>2023</v>
      </c>
      <c r="C171" s="5" t="s">
        <v>14</v>
      </c>
      <c r="D171" s="5">
        <v>22519</v>
      </c>
      <c r="E171" s="5">
        <v>187.9</v>
      </c>
      <c r="F171" s="5">
        <v>140.80000000000001</v>
      </c>
      <c r="G171" s="5">
        <v>26.4</v>
      </c>
      <c r="H171" s="5">
        <v>20.7</v>
      </c>
      <c r="I171" s="5">
        <v>18.899999999999999</v>
      </c>
      <c r="J171" s="5">
        <v>22.7</v>
      </c>
      <c r="K171" s="6" t="s">
        <v>13</v>
      </c>
      <c r="L171" s="5" t="s">
        <v>36</v>
      </c>
    </row>
    <row r="172" spans="1:12" x14ac:dyDescent="0.25">
      <c r="A172" s="4" t="s">
        <v>33</v>
      </c>
      <c r="B172" s="5">
        <v>2023</v>
      </c>
      <c r="C172" s="5" t="s">
        <v>15</v>
      </c>
      <c r="D172" s="5">
        <v>41736</v>
      </c>
      <c r="E172" s="5">
        <v>192.9</v>
      </c>
      <c r="F172" s="5">
        <v>137.4</v>
      </c>
      <c r="G172" s="5">
        <v>32.700000000000003</v>
      </c>
      <c r="H172" s="5">
        <v>22.8</v>
      </c>
      <c r="I172" s="5">
        <v>9.1999999999999993</v>
      </c>
      <c r="J172" s="5">
        <v>27.5</v>
      </c>
      <c r="K172" s="6" t="s">
        <v>13</v>
      </c>
      <c r="L172" s="5" t="s">
        <v>39</v>
      </c>
    </row>
    <row r="173" spans="1:12" x14ac:dyDescent="0.25">
      <c r="A173" s="4" t="s">
        <v>33</v>
      </c>
      <c r="B173" s="5">
        <v>2023</v>
      </c>
      <c r="C173" s="5" t="s">
        <v>16</v>
      </c>
      <c r="D173" s="5">
        <v>60628</v>
      </c>
      <c r="E173" s="5">
        <v>228.7</v>
      </c>
      <c r="F173" s="5">
        <v>168.2</v>
      </c>
      <c r="G173" s="5">
        <v>38.5</v>
      </c>
      <c r="H173" s="5">
        <v>22</v>
      </c>
      <c r="I173" s="5">
        <v>6.8</v>
      </c>
      <c r="J173" s="5">
        <v>32.6</v>
      </c>
      <c r="K173" s="6" t="s">
        <v>13</v>
      </c>
      <c r="L173" s="5" t="s">
        <v>38</v>
      </c>
    </row>
    <row r="174" spans="1:12" x14ac:dyDescent="0.25">
      <c r="A174" s="4" t="s">
        <v>33</v>
      </c>
      <c r="B174" s="5">
        <v>2023</v>
      </c>
      <c r="C174" s="5" t="s">
        <v>17</v>
      </c>
      <c r="D174" s="5">
        <v>56828</v>
      </c>
      <c r="E174" s="5">
        <v>251.5</v>
      </c>
      <c r="F174" s="5">
        <v>184.3</v>
      </c>
      <c r="G174" s="5">
        <v>43</v>
      </c>
      <c r="H174" s="5">
        <v>24.2</v>
      </c>
      <c r="I174" s="5">
        <v>30.1</v>
      </c>
      <c r="J174" s="5">
        <v>36.4</v>
      </c>
      <c r="K174" s="6" t="s">
        <v>18</v>
      </c>
      <c r="L174" s="5" t="s">
        <v>38</v>
      </c>
    </row>
    <row r="175" spans="1:12" x14ac:dyDescent="0.25">
      <c r="A175" s="4" t="s">
        <v>33</v>
      </c>
      <c r="B175" s="5">
        <v>2023</v>
      </c>
      <c r="C175" s="5" t="s">
        <v>19</v>
      </c>
      <c r="D175" s="5">
        <v>33981</v>
      </c>
      <c r="E175" s="5">
        <v>303.60000000000002</v>
      </c>
      <c r="F175" s="5">
        <v>218.8</v>
      </c>
      <c r="G175" s="5">
        <v>46.8</v>
      </c>
      <c r="H175" s="5">
        <v>38</v>
      </c>
      <c r="I175" s="5">
        <v>90.5</v>
      </c>
      <c r="J175" s="5">
        <v>36.799999999999997</v>
      </c>
      <c r="K175" s="6" t="s">
        <v>21</v>
      </c>
      <c r="L175" s="5" t="s">
        <v>38</v>
      </c>
    </row>
    <row r="176" spans="1:12" x14ac:dyDescent="0.25">
      <c r="A176" s="4" t="s">
        <v>33</v>
      </c>
      <c r="B176" s="5">
        <v>2023</v>
      </c>
      <c r="C176" s="5" t="s">
        <v>20</v>
      </c>
      <c r="D176" s="5">
        <v>39300</v>
      </c>
      <c r="E176" s="5">
        <v>310.39999999999998</v>
      </c>
      <c r="F176" s="5">
        <v>241</v>
      </c>
      <c r="G176" s="5">
        <v>41.2</v>
      </c>
      <c r="H176" s="5">
        <v>28.2</v>
      </c>
      <c r="I176" s="5">
        <v>167.7</v>
      </c>
      <c r="J176" s="5">
        <v>33.700000000000003</v>
      </c>
      <c r="K176" s="6" t="s">
        <v>21</v>
      </c>
      <c r="L176" s="5" t="s">
        <v>37</v>
      </c>
    </row>
    <row r="177" spans="1:12" x14ac:dyDescent="0.25">
      <c r="A177" s="4" t="s">
        <v>33</v>
      </c>
      <c r="B177" s="5">
        <v>2023</v>
      </c>
      <c r="C177" s="5" t="s">
        <v>22</v>
      </c>
      <c r="D177" s="5">
        <v>63952</v>
      </c>
      <c r="E177" s="5">
        <v>312.7</v>
      </c>
      <c r="F177" s="5">
        <v>223.2</v>
      </c>
      <c r="G177" s="5">
        <v>48</v>
      </c>
      <c r="H177" s="5">
        <v>41.5</v>
      </c>
      <c r="I177" s="5">
        <v>138.5</v>
      </c>
      <c r="J177" s="5">
        <v>32.9</v>
      </c>
      <c r="K177" s="6" t="s">
        <v>21</v>
      </c>
      <c r="L177" s="5" t="s">
        <v>37</v>
      </c>
    </row>
    <row r="178" spans="1:12" x14ac:dyDescent="0.25">
      <c r="A178" s="4" t="s">
        <v>33</v>
      </c>
      <c r="B178" s="5">
        <v>2023</v>
      </c>
      <c r="C178" s="5" t="s">
        <v>23</v>
      </c>
      <c r="D178" s="5">
        <v>44635</v>
      </c>
      <c r="E178" s="5">
        <v>258.3</v>
      </c>
      <c r="F178" s="5">
        <v>187.4</v>
      </c>
      <c r="G178" s="5">
        <v>42.7</v>
      </c>
      <c r="H178" s="5">
        <v>28.2</v>
      </c>
      <c r="I178" s="5">
        <v>104.7</v>
      </c>
      <c r="J178" s="5">
        <v>29</v>
      </c>
      <c r="K178" s="6" t="s">
        <v>18</v>
      </c>
      <c r="L178" s="5" t="s">
        <v>37</v>
      </c>
    </row>
    <row r="179" spans="1:12" x14ac:dyDescent="0.25">
      <c r="A179" s="4" t="s">
        <v>33</v>
      </c>
      <c r="B179" s="5">
        <v>2023</v>
      </c>
      <c r="C179" s="5" t="s">
        <v>24</v>
      </c>
      <c r="D179" s="5">
        <v>19130</v>
      </c>
      <c r="E179" s="5">
        <v>222.9</v>
      </c>
      <c r="F179" s="5">
        <v>174.1</v>
      </c>
      <c r="G179" s="5">
        <v>29.7</v>
      </c>
      <c r="H179" s="5">
        <v>19.100000000000001</v>
      </c>
      <c r="I179" s="5">
        <v>41.9</v>
      </c>
      <c r="J179" s="5">
        <v>26.8</v>
      </c>
      <c r="K179" s="6" t="s">
        <v>13</v>
      </c>
      <c r="L179" s="5" t="s">
        <v>36</v>
      </c>
    </row>
    <row r="180" spans="1:12" x14ac:dyDescent="0.25">
      <c r="A180" s="4" t="s">
        <v>33</v>
      </c>
      <c r="B180" s="5">
        <v>2023</v>
      </c>
      <c r="C180" s="5" t="s">
        <v>25</v>
      </c>
      <c r="D180" s="5">
        <v>49015</v>
      </c>
      <c r="E180" s="5">
        <v>197.5</v>
      </c>
      <c r="F180" s="5">
        <v>147.30000000000001</v>
      </c>
      <c r="G180" s="5">
        <v>27.8</v>
      </c>
      <c r="H180" s="5">
        <v>22.4</v>
      </c>
      <c r="I180" s="5">
        <v>27.6</v>
      </c>
      <c r="J180" s="5">
        <v>24</v>
      </c>
      <c r="K180" s="6" t="s">
        <v>13</v>
      </c>
      <c r="L180" s="5" t="s">
        <v>36</v>
      </c>
    </row>
    <row r="181" spans="1:12" x14ac:dyDescent="0.25">
      <c r="A181" s="4" t="s">
        <v>33</v>
      </c>
      <c r="B181" s="5">
        <v>2023</v>
      </c>
      <c r="C181" s="5" t="s">
        <v>26</v>
      </c>
      <c r="D181" s="5">
        <v>47736</v>
      </c>
      <c r="E181" s="5">
        <v>171.2</v>
      </c>
      <c r="F181" s="5">
        <v>131.6</v>
      </c>
      <c r="G181" s="5">
        <v>23.1</v>
      </c>
      <c r="H181" s="5">
        <v>16.5</v>
      </c>
      <c r="I181" s="5">
        <v>10.7</v>
      </c>
      <c r="J181" s="5">
        <v>21.7</v>
      </c>
      <c r="K181" s="6" t="s">
        <v>13</v>
      </c>
      <c r="L181" s="5" t="s">
        <v>36</v>
      </c>
    </row>
    <row r="182" spans="1:12" x14ac:dyDescent="0.25">
      <c r="A182" s="4" t="s">
        <v>33</v>
      </c>
      <c r="B182" s="5">
        <v>2024</v>
      </c>
      <c r="C182" s="5" t="s">
        <v>12</v>
      </c>
      <c r="D182" s="5">
        <v>53118</v>
      </c>
      <c r="E182" s="5">
        <v>170.3</v>
      </c>
      <c r="F182" s="5">
        <v>119.5</v>
      </c>
      <c r="G182" s="5">
        <v>27.5</v>
      </c>
      <c r="H182" s="5">
        <v>23.3</v>
      </c>
      <c r="I182" s="5">
        <v>10.9</v>
      </c>
      <c r="J182" s="5">
        <v>24.3</v>
      </c>
      <c r="K182" s="6" t="s">
        <v>13</v>
      </c>
      <c r="L182" s="5" t="s">
        <v>36</v>
      </c>
    </row>
    <row r="183" spans="1:12" x14ac:dyDescent="0.25">
      <c r="A183" s="4" t="s">
        <v>33</v>
      </c>
      <c r="B183" s="5">
        <v>2024</v>
      </c>
      <c r="C183" s="5" t="s">
        <v>14</v>
      </c>
      <c r="D183" s="5">
        <v>56639</v>
      </c>
      <c r="E183" s="5">
        <v>178.6</v>
      </c>
      <c r="F183" s="5">
        <v>126.7</v>
      </c>
      <c r="G183" s="5">
        <v>27.1</v>
      </c>
      <c r="H183" s="5">
        <v>24.8</v>
      </c>
      <c r="I183" s="5">
        <v>7.1</v>
      </c>
      <c r="J183" s="5">
        <v>25.7</v>
      </c>
      <c r="K183" s="6" t="s">
        <v>13</v>
      </c>
      <c r="L183" s="5" t="s">
        <v>36</v>
      </c>
    </row>
    <row r="184" spans="1:12" x14ac:dyDescent="0.25">
      <c r="A184" s="4" t="s">
        <v>33</v>
      </c>
      <c r="B184" s="5">
        <v>2024</v>
      </c>
      <c r="C184" s="5" t="s">
        <v>15</v>
      </c>
      <c r="D184" s="5">
        <v>32908</v>
      </c>
      <c r="E184" s="5">
        <v>195.1</v>
      </c>
      <c r="F184" s="5">
        <v>148.30000000000001</v>
      </c>
      <c r="G184" s="5">
        <v>27</v>
      </c>
      <c r="H184" s="5">
        <v>19.8</v>
      </c>
      <c r="I184" s="5">
        <v>10.6</v>
      </c>
      <c r="J184" s="5">
        <v>28.2</v>
      </c>
      <c r="K184" s="6" t="s">
        <v>13</v>
      </c>
      <c r="L184" s="5" t="s">
        <v>39</v>
      </c>
    </row>
    <row r="185" spans="1:12" x14ac:dyDescent="0.25">
      <c r="A185" s="4" t="s">
        <v>33</v>
      </c>
      <c r="B185" s="5">
        <v>2024</v>
      </c>
      <c r="C185" s="5" t="s">
        <v>16</v>
      </c>
      <c r="D185" s="5">
        <v>21573</v>
      </c>
      <c r="E185" s="5">
        <v>212.2</v>
      </c>
      <c r="F185" s="5">
        <v>153.9</v>
      </c>
      <c r="G185" s="5">
        <v>34.299999999999997</v>
      </c>
      <c r="H185" s="5">
        <v>24</v>
      </c>
      <c r="I185" s="5">
        <v>32.1</v>
      </c>
      <c r="J185" s="5">
        <v>35.200000000000003</v>
      </c>
      <c r="K185" s="6" t="s">
        <v>13</v>
      </c>
      <c r="L185" s="5" t="s">
        <v>38</v>
      </c>
    </row>
    <row r="186" spans="1:12" x14ac:dyDescent="0.25">
      <c r="A186" s="4" t="s">
        <v>33</v>
      </c>
      <c r="B186" s="5">
        <v>2024</v>
      </c>
      <c r="C186" s="5" t="s">
        <v>17</v>
      </c>
      <c r="D186" s="5">
        <v>18803</v>
      </c>
      <c r="E186" s="5">
        <v>252.8</v>
      </c>
      <c r="F186" s="5">
        <v>186.4</v>
      </c>
      <c r="G186" s="5">
        <v>37.5</v>
      </c>
      <c r="H186" s="5">
        <v>28.9</v>
      </c>
      <c r="I186" s="5">
        <v>22.1</v>
      </c>
      <c r="J186" s="5">
        <v>37.299999999999997</v>
      </c>
      <c r="K186" s="6" t="s">
        <v>18</v>
      </c>
      <c r="L186" s="5" t="s">
        <v>38</v>
      </c>
    </row>
    <row r="187" spans="1:12" x14ac:dyDescent="0.25">
      <c r="A187" s="4" t="s">
        <v>33</v>
      </c>
      <c r="B187" s="5">
        <v>2024</v>
      </c>
      <c r="C187" s="5" t="s">
        <v>19</v>
      </c>
      <c r="D187" s="5">
        <v>49308</v>
      </c>
      <c r="E187" s="5">
        <v>283.60000000000002</v>
      </c>
      <c r="F187" s="5">
        <v>223.9</v>
      </c>
      <c r="G187" s="5">
        <v>35.1</v>
      </c>
      <c r="H187" s="5">
        <v>24.6</v>
      </c>
      <c r="I187" s="5">
        <v>81.900000000000006</v>
      </c>
      <c r="J187" s="5">
        <v>38.1</v>
      </c>
      <c r="K187" s="6" t="s">
        <v>18</v>
      </c>
      <c r="L187" s="5" t="s">
        <v>38</v>
      </c>
    </row>
    <row r="188" spans="1:12" x14ac:dyDescent="0.25">
      <c r="A188" s="4" t="s">
        <v>33</v>
      </c>
      <c r="B188" s="5">
        <v>2024</v>
      </c>
      <c r="C188" s="5" t="s">
        <v>20</v>
      </c>
      <c r="D188" s="5">
        <v>27943</v>
      </c>
      <c r="E188" s="5">
        <v>315</v>
      </c>
      <c r="F188" s="5">
        <v>238.6</v>
      </c>
      <c r="G188" s="5">
        <v>48.4</v>
      </c>
      <c r="H188" s="5">
        <v>28</v>
      </c>
      <c r="I188" s="5">
        <v>154.4</v>
      </c>
      <c r="J188" s="5">
        <v>39.5</v>
      </c>
      <c r="K188" s="6" t="s">
        <v>21</v>
      </c>
      <c r="L188" s="5" t="s">
        <v>37</v>
      </c>
    </row>
    <row r="189" spans="1:12" x14ac:dyDescent="0.25">
      <c r="A189" s="4" t="s">
        <v>33</v>
      </c>
      <c r="B189" s="5">
        <v>2024</v>
      </c>
      <c r="C189" s="5" t="s">
        <v>22</v>
      </c>
      <c r="D189" s="5">
        <v>45274</v>
      </c>
      <c r="E189" s="5">
        <v>294.39999999999998</v>
      </c>
      <c r="F189" s="5">
        <v>210.8</v>
      </c>
      <c r="G189" s="5">
        <v>49.3</v>
      </c>
      <c r="H189" s="5">
        <v>34.299999999999997</v>
      </c>
      <c r="I189" s="5">
        <v>146.9</v>
      </c>
      <c r="J189" s="5">
        <v>34.799999999999997</v>
      </c>
      <c r="K189" s="6" t="s">
        <v>18</v>
      </c>
      <c r="L189" s="5" t="s">
        <v>37</v>
      </c>
    </row>
    <row r="190" spans="1:12" x14ac:dyDescent="0.25">
      <c r="A190" s="4" t="s">
        <v>33</v>
      </c>
      <c r="B190" s="5">
        <v>2024</v>
      </c>
      <c r="C190" s="5" t="s">
        <v>23</v>
      </c>
      <c r="D190" s="5">
        <v>47014</v>
      </c>
      <c r="E190" s="5">
        <v>263.3</v>
      </c>
      <c r="F190" s="5">
        <v>196.6</v>
      </c>
      <c r="G190" s="5">
        <v>40.9</v>
      </c>
      <c r="H190" s="5">
        <v>25.8</v>
      </c>
      <c r="I190" s="5">
        <v>98.3</v>
      </c>
      <c r="J190" s="5">
        <v>31.8</v>
      </c>
      <c r="K190" s="6" t="s">
        <v>18</v>
      </c>
      <c r="L190" s="5" t="s">
        <v>37</v>
      </c>
    </row>
    <row r="191" spans="1:12" x14ac:dyDescent="0.25">
      <c r="A191" s="4" t="s">
        <v>33</v>
      </c>
      <c r="B191" s="5">
        <v>2024</v>
      </c>
      <c r="C191" s="5" t="s">
        <v>24</v>
      </c>
      <c r="D191" s="5">
        <v>24503</v>
      </c>
      <c r="E191" s="5">
        <v>212.5</v>
      </c>
      <c r="F191" s="5">
        <v>155.30000000000001</v>
      </c>
      <c r="G191" s="5">
        <v>28.1</v>
      </c>
      <c r="H191" s="5">
        <v>29.1</v>
      </c>
      <c r="I191" s="5">
        <v>48.6</v>
      </c>
      <c r="J191" s="5">
        <v>30.1</v>
      </c>
      <c r="K191" s="6" t="s">
        <v>13</v>
      </c>
      <c r="L191" s="5" t="s">
        <v>36</v>
      </c>
    </row>
    <row r="192" spans="1:12" x14ac:dyDescent="0.25">
      <c r="A192" s="4" t="s">
        <v>33</v>
      </c>
      <c r="B192" s="5">
        <v>2024</v>
      </c>
      <c r="C192" s="5" t="s">
        <v>25</v>
      </c>
      <c r="D192" s="5">
        <v>29391</v>
      </c>
      <c r="E192" s="5">
        <v>187.3</v>
      </c>
      <c r="F192" s="5">
        <v>141.9</v>
      </c>
      <c r="G192" s="5">
        <v>24.2</v>
      </c>
      <c r="H192" s="5">
        <v>21.2</v>
      </c>
      <c r="I192" s="5">
        <v>2.2000000000000002</v>
      </c>
      <c r="J192" s="5">
        <v>25.2</v>
      </c>
      <c r="K192" s="6" t="s">
        <v>13</v>
      </c>
      <c r="L192" s="5" t="s">
        <v>36</v>
      </c>
    </row>
    <row r="193" spans="1:12" x14ac:dyDescent="0.25">
      <c r="A193" s="4" t="s">
        <v>33</v>
      </c>
      <c r="B193" s="5">
        <v>2024</v>
      </c>
      <c r="C193" s="5" t="s">
        <v>26</v>
      </c>
      <c r="D193" s="5">
        <v>20139</v>
      </c>
      <c r="E193" s="5">
        <v>174.1</v>
      </c>
      <c r="F193" s="5">
        <v>129.5</v>
      </c>
      <c r="G193" s="5">
        <v>28.3</v>
      </c>
      <c r="H193" s="5">
        <v>16.3</v>
      </c>
      <c r="I193" s="5">
        <v>2.8</v>
      </c>
      <c r="J193" s="5">
        <v>19.399999999999999</v>
      </c>
      <c r="K193" s="6" t="s">
        <v>13</v>
      </c>
      <c r="L193" s="5" t="s">
        <v>36</v>
      </c>
    </row>
    <row r="194" spans="1:12" x14ac:dyDescent="0.25">
      <c r="A194" s="4" t="s">
        <v>34</v>
      </c>
      <c r="B194" s="5">
        <v>2023</v>
      </c>
      <c r="C194" s="5" t="s">
        <v>12</v>
      </c>
      <c r="D194" s="5">
        <v>56678</v>
      </c>
      <c r="E194" s="5">
        <v>205.5</v>
      </c>
      <c r="F194" s="5">
        <v>159.1</v>
      </c>
      <c r="G194" s="5">
        <v>25.9</v>
      </c>
      <c r="H194" s="5">
        <v>20.5</v>
      </c>
      <c r="I194" s="5">
        <v>7.6</v>
      </c>
      <c r="J194" s="5">
        <v>21.4</v>
      </c>
      <c r="K194" s="6" t="s">
        <v>13</v>
      </c>
      <c r="L194" s="5" t="s">
        <v>36</v>
      </c>
    </row>
    <row r="195" spans="1:12" x14ac:dyDescent="0.25">
      <c r="A195" s="4" t="s">
        <v>34</v>
      </c>
      <c r="B195" s="5">
        <v>2023</v>
      </c>
      <c r="C195" s="5" t="s">
        <v>14</v>
      </c>
      <c r="D195" s="5">
        <v>19005</v>
      </c>
      <c r="E195" s="5">
        <v>229.9</v>
      </c>
      <c r="F195" s="5">
        <v>168.3</v>
      </c>
      <c r="G195" s="5">
        <v>33.200000000000003</v>
      </c>
      <c r="H195" s="5">
        <v>28.4</v>
      </c>
      <c r="I195" s="5">
        <v>4.7</v>
      </c>
      <c r="J195" s="5">
        <v>24.3</v>
      </c>
      <c r="K195" s="6" t="s">
        <v>13</v>
      </c>
      <c r="L195" s="5" t="s">
        <v>36</v>
      </c>
    </row>
    <row r="196" spans="1:12" x14ac:dyDescent="0.25">
      <c r="A196" s="4" t="s">
        <v>34</v>
      </c>
      <c r="B196" s="5">
        <v>2023</v>
      </c>
      <c r="C196" s="5" t="s">
        <v>15</v>
      </c>
      <c r="D196" s="5">
        <v>35368</v>
      </c>
      <c r="E196" s="5">
        <v>241.3</v>
      </c>
      <c r="F196" s="5">
        <v>178.1</v>
      </c>
      <c r="G196" s="5">
        <v>39</v>
      </c>
      <c r="H196" s="5">
        <v>24.2</v>
      </c>
      <c r="I196" s="5">
        <v>0.5</v>
      </c>
      <c r="J196" s="5">
        <v>26.6</v>
      </c>
      <c r="K196" s="6" t="s">
        <v>13</v>
      </c>
      <c r="L196" s="5" t="s">
        <v>39</v>
      </c>
    </row>
    <row r="197" spans="1:12" x14ac:dyDescent="0.25">
      <c r="A197" s="4" t="s">
        <v>34</v>
      </c>
      <c r="B197" s="5">
        <v>2023</v>
      </c>
      <c r="C197" s="5" t="s">
        <v>16</v>
      </c>
      <c r="D197" s="5">
        <v>52971</v>
      </c>
      <c r="E197" s="5">
        <v>275.2</v>
      </c>
      <c r="F197" s="5">
        <v>208.6</v>
      </c>
      <c r="G197" s="5">
        <v>38.299999999999997</v>
      </c>
      <c r="H197" s="5">
        <v>28.3</v>
      </c>
      <c r="I197" s="5">
        <v>14.7</v>
      </c>
      <c r="J197" s="5">
        <v>30.5</v>
      </c>
      <c r="K197" s="6" t="s">
        <v>18</v>
      </c>
      <c r="L197" s="5" t="s">
        <v>38</v>
      </c>
    </row>
    <row r="198" spans="1:12" x14ac:dyDescent="0.25">
      <c r="A198" s="4" t="s">
        <v>34</v>
      </c>
      <c r="B198" s="5">
        <v>2023</v>
      </c>
      <c r="C198" s="5" t="s">
        <v>17</v>
      </c>
      <c r="D198" s="5">
        <v>20352</v>
      </c>
      <c r="E198" s="5">
        <v>311.39999999999998</v>
      </c>
      <c r="F198" s="5">
        <v>233.2</v>
      </c>
      <c r="G198" s="5">
        <v>41.8</v>
      </c>
      <c r="H198" s="5">
        <v>36.4</v>
      </c>
      <c r="I198" s="5">
        <v>24.7</v>
      </c>
      <c r="J198" s="5">
        <v>35.9</v>
      </c>
      <c r="K198" s="6" t="s">
        <v>21</v>
      </c>
      <c r="L198" s="5" t="s">
        <v>38</v>
      </c>
    </row>
    <row r="199" spans="1:12" x14ac:dyDescent="0.25">
      <c r="A199" s="4" t="s">
        <v>34</v>
      </c>
      <c r="B199" s="5">
        <v>2023</v>
      </c>
      <c r="C199" s="5" t="s">
        <v>19</v>
      </c>
      <c r="D199" s="5">
        <v>23923</v>
      </c>
      <c r="E199" s="5">
        <v>345.5</v>
      </c>
      <c r="F199" s="5">
        <v>265.39999999999998</v>
      </c>
      <c r="G199" s="5">
        <v>43.5</v>
      </c>
      <c r="H199" s="5">
        <v>36.6</v>
      </c>
      <c r="I199" s="5">
        <v>81.5</v>
      </c>
      <c r="J199" s="5">
        <v>35.700000000000003</v>
      </c>
      <c r="K199" s="6" t="s">
        <v>21</v>
      </c>
      <c r="L199" s="5" t="s">
        <v>38</v>
      </c>
    </row>
    <row r="200" spans="1:12" x14ac:dyDescent="0.25">
      <c r="A200" s="4" t="s">
        <v>34</v>
      </c>
      <c r="B200" s="5">
        <v>2023</v>
      </c>
      <c r="C200" s="5" t="s">
        <v>20</v>
      </c>
      <c r="D200" s="5">
        <v>63482</v>
      </c>
      <c r="E200" s="5">
        <v>369.9</v>
      </c>
      <c r="F200" s="5">
        <v>288.7</v>
      </c>
      <c r="G200" s="5">
        <v>45</v>
      </c>
      <c r="H200" s="5">
        <v>36.200000000000003</v>
      </c>
      <c r="I200" s="5">
        <v>163.5</v>
      </c>
      <c r="J200" s="5">
        <v>35.5</v>
      </c>
      <c r="K200" s="6" t="s">
        <v>21</v>
      </c>
      <c r="L200" s="5" t="s">
        <v>37</v>
      </c>
    </row>
    <row r="201" spans="1:12" x14ac:dyDescent="0.25">
      <c r="A201" s="4" t="s">
        <v>34</v>
      </c>
      <c r="B201" s="5">
        <v>2023</v>
      </c>
      <c r="C201" s="5" t="s">
        <v>22</v>
      </c>
      <c r="D201" s="5">
        <v>46225</v>
      </c>
      <c r="E201" s="5">
        <v>359.6</v>
      </c>
      <c r="F201" s="5">
        <v>273.10000000000002</v>
      </c>
      <c r="G201" s="5">
        <v>54.6</v>
      </c>
      <c r="H201" s="5">
        <v>31.9</v>
      </c>
      <c r="I201" s="5">
        <v>128.80000000000001</v>
      </c>
      <c r="J201" s="5">
        <v>31.9</v>
      </c>
      <c r="K201" s="6" t="s">
        <v>21</v>
      </c>
      <c r="L201" s="5" t="s">
        <v>37</v>
      </c>
    </row>
    <row r="202" spans="1:12" x14ac:dyDescent="0.25">
      <c r="A202" s="4" t="s">
        <v>34</v>
      </c>
      <c r="B202" s="5">
        <v>2023</v>
      </c>
      <c r="C202" s="5" t="s">
        <v>23</v>
      </c>
      <c r="D202" s="5">
        <v>23175</v>
      </c>
      <c r="E202" s="5">
        <v>308.3</v>
      </c>
      <c r="F202" s="5">
        <v>228.3</v>
      </c>
      <c r="G202" s="5">
        <v>44.1</v>
      </c>
      <c r="H202" s="5">
        <v>35.9</v>
      </c>
      <c r="I202" s="5">
        <v>105.2</v>
      </c>
      <c r="J202" s="5">
        <v>29.4</v>
      </c>
      <c r="K202" s="6" t="s">
        <v>21</v>
      </c>
      <c r="L202" s="5" t="s">
        <v>37</v>
      </c>
    </row>
    <row r="203" spans="1:12" x14ac:dyDescent="0.25">
      <c r="A203" s="4" t="s">
        <v>34</v>
      </c>
      <c r="B203" s="5">
        <v>2023</v>
      </c>
      <c r="C203" s="5" t="s">
        <v>24</v>
      </c>
      <c r="D203" s="5">
        <v>33216</v>
      </c>
      <c r="E203" s="5">
        <v>268.7</v>
      </c>
      <c r="F203" s="5">
        <v>203.5</v>
      </c>
      <c r="G203" s="5">
        <v>36.299999999999997</v>
      </c>
      <c r="H203" s="5">
        <v>28.9</v>
      </c>
      <c r="I203" s="5">
        <v>45</v>
      </c>
      <c r="J203" s="5">
        <v>28.2</v>
      </c>
      <c r="K203" s="6" t="s">
        <v>18</v>
      </c>
      <c r="L203" s="5" t="s">
        <v>36</v>
      </c>
    </row>
    <row r="204" spans="1:12" x14ac:dyDescent="0.25">
      <c r="A204" s="4" t="s">
        <v>34</v>
      </c>
      <c r="B204" s="5">
        <v>2023</v>
      </c>
      <c r="C204" s="5" t="s">
        <v>25</v>
      </c>
      <c r="D204" s="5">
        <v>36850</v>
      </c>
      <c r="E204" s="5">
        <v>241.1</v>
      </c>
      <c r="F204" s="5">
        <v>180.8</v>
      </c>
      <c r="G204" s="5">
        <v>31.2</v>
      </c>
      <c r="H204" s="5">
        <v>29.1</v>
      </c>
      <c r="I204" s="5">
        <v>6.4</v>
      </c>
      <c r="J204" s="5">
        <v>24.5</v>
      </c>
      <c r="K204" s="6" t="s">
        <v>13</v>
      </c>
      <c r="L204" s="5" t="s">
        <v>36</v>
      </c>
    </row>
    <row r="205" spans="1:12" x14ac:dyDescent="0.25">
      <c r="A205" s="4" t="s">
        <v>34</v>
      </c>
      <c r="B205" s="5">
        <v>2023</v>
      </c>
      <c r="C205" s="5" t="s">
        <v>26</v>
      </c>
      <c r="D205" s="5">
        <v>59873</v>
      </c>
      <c r="E205" s="5">
        <v>211.1</v>
      </c>
      <c r="F205" s="5">
        <v>147.9</v>
      </c>
      <c r="G205" s="5">
        <v>34.1</v>
      </c>
      <c r="H205" s="5">
        <v>29.1</v>
      </c>
      <c r="I205" s="5">
        <v>0</v>
      </c>
      <c r="J205" s="5">
        <v>21.3</v>
      </c>
      <c r="K205" s="6" t="s">
        <v>13</v>
      </c>
      <c r="L205" s="5" t="s">
        <v>36</v>
      </c>
    </row>
    <row r="206" spans="1:12" x14ac:dyDescent="0.25">
      <c r="A206" s="4" t="s">
        <v>34</v>
      </c>
      <c r="B206" s="5">
        <v>2024</v>
      </c>
      <c r="C206" s="5" t="s">
        <v>12</v>
      </c>
      <c r="D206" s="5">
        <v>49667</v>
      </c>
      <c r="E206" s="5">
        <v>226.5</v>
      </c>
      <c r="F206" s="5">
        <v>174.5</v>
      </c>
      <c r="G206" s="5">
        <v>32.4</v>
      </c>
      <c r="H206" s="5">
        <v>19.600000000000001</v>
      </c>
      <c r="I206" s="5">
        <v>0</v>
      </c>
      <c r="J206" s="5">
        <v>23</v>
      </c>
      <c r="K206" s="6" t="s">
        <v>13</v>
      </c>
      <c r="L206" s="5" t="s">
        <v>36</v>
      </c>
    </row>
    <row r="207" spans="1:12" x14ac:dyDescent="0.25">
      <c r="A207" s="4" t="s">
        <v>34</v>
      </c>
      <c r="B207" s="5">
        <v>2024</v>
      </c>
      <c r="C207" s="5" t="s">
        <v>14</v>
      </c>
      <c r="D207" s="5">
        <v>19437</v>
      </c>
      <c r="E207" s="5">
        <v>224.8</v>
      </c>
      <c r="F207" s="5">
        <v>157.69999999999999</v>
      </c>
      <c r="G207" s="5">
        <v>35.9</v>
      </c>
      <c r="H207" s="5">
        <v>31.2</v>
      </c>
      <c r="I207" s="5">
        <v>6</v>
      </c>
      <c r="J207" s="5">
        <v>26.9</v>
      </c>
      <c r="K207" s="6" t="s">
        <v>13</v>
      </c>
      <c r="L207" s="5" t="s">
        <v>36</v>
      </c>
    </row>
    <row r="208" spans="1:12" x14ac:dyDescent="0.25">
      <c r="A208" s="4" t="s">
        <v>34</v>
      </c>
      <c r="B208" s="5">
        <v>2024</v>
      </c>
      <c r="C208" s="5" t="s">
        <v>15</v>
      </c>
      <c r="D208" s="5">
        <v>21214</v>
      </c>
      <c r="E208" s="5">
        <v>246.5</v>
      </c>
      <c r="F208" s="5">
        <v>172.7</v>
      </c>
      <c r="G208" s="5">
        <v>40.6</v>
      </c>
      <c r="H208" s="5">
        <v>33.200000000000003</v>
      </c>
      <c r="I208" s="5">
        <v>22.7</v>
      </c>
      <c r="J208" s="5">
        <v>26.2</v>
      </c>
      <c r="K208" s="6" t="s">
        <v>13</v>
      </c>
      <c r="L208" s="5" t="s">
        <v>39</v>
      </c>
    </row>
    <row r="209" spans="1:12" x14ac:dyDescent="0.25">
      <c r="A209" s="4" t="s">
        <v>34</v>
      </c>
      <c r="B209" s="5">
        <v>2024</v>
      </c>
      <c r="C209" s="5" t="s">
        <v>16</v>
      </c>
      <c r="D209" s="5">
        <v>33081</v>
      </c>
      <c r="E209" s="5">
        <v>273.39999999999998</v>
      </c>
      <c r="F209" s="5">
        <v>203</v>
      </c>
      <c r="G209" s="5">
        <v>38.6</v>
      </c>
      <c r="H209" s="5">
        <v>31.8</v>
      </c>
      <c r="I209" s="5">
        <v>8.9</v>
      </c>
      <c r="J209" s="5">
        <v>31.4</v>
      </c>
      <c r="K209" s="6" t="s">
        <v>18</v>
      </c>
      <c r="L209" s="5" t="s">
        <v>38</v>
      </c>
    </row>
    <row r="210" spans="1:12" x14ac:dyDescent="0.25">
      <c r="A210" s="4" t="s">
        <v>34</v>
      </c>
      <c r="B210" s="5">
        <v>2024</v>
      </c>
      <c r="C210" s="5" t="s">
        <v>17</v>
      </c>
      <c r="D210" s="5">
        <v>61200</v>
      </c>
      <c r="E210" s="5">
        <v>306.8</v>
      </c>
      <c r="F210" s="5">
        <v>230.4</v>
      </c>
      <c r="G210" s="5">
        <v>39.299999999999997</v>
      </c>
      <c r="H210" s="5">
        <v>37.1</v>
      </c>
      <c r="I210" s="5">
        <v>39.5</v>
      </c>
      <c r="J210" s="5">
        <v>38.200000000000003</v>
      </c>
      <c r="K210" s="6" t="s">
        <v>21</v>
      </c>
      <c r="L210" s="5" t="s">
        <v>38</v>
      </c>
    </row>
    <row r="211" spans="1:12" x14ac:dyDescent="0.25">
      <c r="A211" s="4" t="s">
        <v>34</v>
      </c>
      <c r="B211" s="5">
        <v>2024</v>
      </c>
      <c r="C211" s="5" t="s">
        <v>19</v>
      </c>
      <c r="D211" s="5">
        <v>46889</v>
      </c>
      <c r="E211" s="5">
        <v>340.9</v>
      </c>
      <c r="F211" s="5">
        <v>264.5</v>
      </c>
      <c r="G211" s="5">
        <v>48.4</v>
      </c>
      <c r="H211" s="5">
        <v>28</v>
      </c>
      <c r="I211" s="5">
        <v>109.9</v>
      </c>
      <c r="J211" s="5">
        <v>40.4</v>
      </c>
      <c r="K211" s="6" t="s">
        <v>21</v>
      </c>
      <c r="L211" s="5" t="s">
        <v>38</v>
      </c>
    </row>
    <row r="212" spans="1:12" x14ac:dyDescent="0.25">
      <c r="A212" s="4" t="s">
        <v>34</v>
      </c>
      <c r="B212" s="5">
        <v>2024</v>
      </c>
      <c r="C212" s="5" t="s">
        <v>20</v>
      </c>
      <c r="D212" s="5">
        <v>45230</v>
      </c>
      <c r="E212" s="5">
        <v>367.1</v>
      </c>
      <c r="F212" s="5">
        <v>286.89999999999998</v>
      </c>
      <c r="G212" s="5">
        <v>47</v>
      </c>
      <c r="H212" s="5">
        <v>33.200000000000003</v>
      </c>
      <c r="I212" s="5">
        <v>139.1</v>
      </c>
      <c r="J212" s="5">
        <v>34</v>
      </c>
      <c r="K212" s="6" t="s">
        <v>21</v>
      </c>
      <c r="L212" s="5" t="s">
        <v>37</v>
      </c>
    </row>
    <row r="213" spans="1:12" x14ac:dyDescent="0.25">
      <c r="A213" s="4" t="s">
        <v>34</v>
      </c>
      <c r="B213" s="5">
        <v>2024</v>
      </c>
      <c r="C213" s="5" t="s">
        <v>22</v>
      </c>
      <c r="D213" s="5">
        <v>35860</v>
      </c>
      <c r="E213" s="5">
        <v>363.7</v>
      </c>
      <c r="F213" s="5">
        <v>267.2</v>
      </c>
      <c r="G213" s="5">
        <v>49.3</v>
      </c>
      <c r="H213" s="5">
        <v>47.2</v>
      </c>
      <c r="I213" s="5">
        <v>150.19999999999999</v>
      </c>
      <c r="J213" s="5">
        <v>31.5</v>
      </c>
      <c r="K213" s="6" t="s">
        <v>21</v>
      </c>
      <c r="L213" s="5" t="s">
        <v>37</v>
      </c>
    </row>
    <row r="214" spans="1:12" x14ac:dyDescent="0.25">
      <c r="A214" s="4" t="s">
        <v>34</v>
      </c>
      <c r="B214" s="5">
        <v>2024</v>
      </c>
      <c r="C214" s="5" t="s">
        <v>23</v>
      </c>
      <c r="D214" s="5">
        <v>40198</v>
      </c>
      <c r="E214" s="5">
        <v>323.60000000000002</v>
      </c>
      <c r="F214" s="5">
        <v>234.2</v>
      </c>
      <c r="G214" s="5">
        <v>47.9</v>
      </c>
      <c r="H214" s="5">
        <v>41.5</v>
      </c>
      <c r="I214" s="5">
        <v>124.9</v>
      </c>
      <c r="J214" s="5">
        <v>32.1</v>
      </c>
      <c r="K214" s="6" t="s">
        <v>21</v>
      </c>
      <c r="L214" s="5" t="s">
        <v>37</v>
      </c>
    </row>
    <row r="215" spans="1:12" x14ac:dyDescent="0.25">
      <c r="A215" s="4" t="s">
        <v>34</v>
      </c>
      <c r="B215" s="5">
        <v>2024</v>
      </c>
      <c r="C215" s="5" t="s">
        <v>24</v>
      </c>
      <c r="D215" s="5">
        <v>62323</v>
      </c>
      <c r="E215" s="5">
        <v>260.2</v>
      </c>
      <c r="F215" s="5">
        <v>181.6</v>
      </c>
      <c r="G215" s="5">
        <v>46.5</v>
      </c>
      <c r="H215" s="5">
        <v>32.1</v>
      </c>
      <c r="I215" s="5">
        <v>62.7</v>
      </c>
      <c r="J215" s="5">
        <v>27.4</v>
      </c>
      <c r="K215" s="6" t="s">
        <v>18</v>
      </c>
      <c r="L215" s="5" t="s">
        <v>36</v>
      </c>
    </row>
    <row r="216" spans="1:12" x14ac:dyDescent="0.25">
      <c r="A216" s="4" t="s">
        <v>34</v>
      </c>
      <c r="B216" s="5">
        <v>2024</v>
      </c>
      <c r="C216" s="5" t="s">
        <v>25</v>
      </c>
      <c r="D216" s="5">
        <v>43858</v>
      </c>
      <c r="E216" s="5">
        <v>230.5</v>
      </c>
      <c r="F216" s="5">
        <v>176.8</v>
      </c>
      <c r="G216" s="5">
        <v>35.1</v>
      </c>
      <c r="H216" s="5">
        <v>18.600000000000001</v>
      </c>
      <c r="I216" s="5">
        <v>0.7</v>
      </c>
      <c r="J216" s="5">
        <v>24.6</v>
      </c>
      <c r="K216" s="6" t="s">
        <v>13</v>
      </c>
      <c r="L216" s="5" t="s">
        <v>36</v>
      </c>
    </row>
    <row r="217" spans="1:12" x14ac:dyDescent="0.25">
      <c r="A217" s="4" t="s">
        <v>34</v>
      </c>
      <c r="B217" s="5">
        <v>2024</v>
      </c>
      <c r="C217" s="5" t="s">
        <v>26</v>
      </c>
      <c r="D217" s="5">
        <v>56309</v>
      </c>
      <c r="E217" s="5">
        <v>213.1</v>
      </c>
      <c r="F217" s="5">
        <v>157.5</v>
      </c>
      <c r="G217" s="5">
        <v>33.700000000000003</v>
      </c>
      <c r="H217" s="5">
        <v>21.9</v>
      </c>
      <c r="I217" s="5">
        <v>0</v>
      </c>
      <c r="J217" s="5">
        <v>22.6</v>
      </c>
      <c r="K217" s="6" t="s">
        <v>13</v>
      </c>
      <c r="L217" s="5" t="s">
        <v>36</v>
      </c>
    </row>
    <row r="218" spans="1:12" x14ac:dyDescent="0.25">
      <c r="A218" s="4" t="s">
        <v>35</v>
      </c>
      <c r="B218" s="5">
        <v>2023</v>
      </c>
      <c r="C218" s="5" t="s">
        <v>12</v>
      </c>
      <c r="D218" s="5">
        <v>49138</v>
      </c>
      <c r="E218" s="5">
        <v>188.9</v>
      </c>
      <c r="F218" s="5">
        <v>135.5</v>
      </c>
      <c r="G218" s="5">
        <v>31.4</v>
      </c>
      <c r="H218" s="5">
        <v>22</v>
      </c>
      <c r="I218" s="5">
        <v>0</v>
      </c>
      <c r="J218" s="5">
        <v>22.9</v>
      </c>
      <c r="K218" s="6" t="s">
        <v>13</v>
      </c>
      <c r="L218" s="5" t="s">
        <v>36</v>
      </c>
    </row>
    <row r="219" spans="1:12" x14ac:dyDescent="0.25">
      <c r="A219" s="4" t="s">
        <v>35</v>
      </c>
      <c r="B219" s="5">
        <v>2023</v>
      </c>
      <c r="C219" s="5" t="s">
        <v>14</v>
      </c>
      <c r="D219" s="5">
        <v>63636</v>
      </c>
      <c r="E219" s="5">
        <v>201.8</v>
      </c>
      <c r="F219" s="5">
        <v>151.9</v>
      </c>
      <c r="G219" s="5">
        <v>29.1</v>
      </c>
      <c r="H219" s="5">
        <v>20.8</v>
      </c>
      <c r="I219" s="5">
        <v>17.2</v>
      </c>
      <c r="J219" s="5">
        <v>26.8</v>
      </c>
      <c r="K219" s="6" t="s">
        <v>13</v>
      </c>
      <c r="L219" s="5" t="s">
        <v>36</v>
      </c>
    </row>
    <row r="220" spans="1:12" x14ac:dyDescent="0.25">
      <c r="A220" s="4" t="s">
        <v>35</v>
      </c>
      <c r="B220" s="5">
        <v>2023</v>
      </c>
      <c r="C220" s="5" t="s">
        <v>15</v>
      </c>
      <c r="D220" s="5">
        <v>24985</v>
      </c>
      <c r="E220" s="5">
        <v>229.4</v>
      </c>
      <c r="F220" s="5">
        <v>169.8</v>
      </c>
      <c r="G220" s="5">
        <v>30.5</v>
      </c>
      <c r="H220" s="5">
        <v>29.1</v>
      </c>
      <c r="I220" s="5">
        <v>17.100000000000001</v>
      </c>
      <c r="J220" s="5">
        <v>26.8</v>
      </c>
      <c r="K220" s="6" t="s">
        <v>13</v>
      </c>
      <c r="L220" s="5" t="s">
        <v>39</v>
      </c>
    </row>
    <row r="221" spans="1:12" x14ac:dyDescent="0.25">
      <c r="A221" s="4" t="s">
        <v>35</v>
      </c>
      <c r="B221" s="5">
        <v>2023</v>
      </c>
      <c r="C221" s="5" t="s">
        <v>16</v>
      </c>
      <c r="D221" s="5">
        <v>54530</v>
      </c>
      <c r="E221" s="5">
        <v>241.6</v>
      </c>
      <c r="F221" s="5">
        <v>177.4</v>
      </c>
      <c r="G221" s="5">
        <v>41.3</v>
      </c>
      <c r="H221" s="5">
        <v>22.9</v>
      </c>
      <c r="I221" s="5">
        <v>0.7</v>
      </c>
      <c r="J221" s="5">
        <v>33.700000000000003</v>
      </c>
      <c r="K221" s="6" t="s">
        <v>13</v>
      </c>
      <c r="L221" s="5" t="s">
        <v>38</v>
      </c>
    </row>
    <row r="222" spans="1:12" x14ac:dyDescent="0.25">
      <c r="A222" s="4" t="s">
        <v>35</v>
      </c>
      <c r="B222" s="5">
        <v>2023</v>
      </c>
      <c r="C222" s="5" t="s">
        <v>17</v>
      </c>
      <c r="D222" s="5">
        <v>54629</v>
      </c>
      <c r="E222" s="5">
        <v>279</v>
      </c>
      <c r="F222" s="5">
        <v>197.3</v>
      </c>
      <c r="G222" s="5">
        <v>49.4</v>
      </c>
      <c r="H222" s="5">
        <v>32.299999999999997</v>
      </c>
      <c r="I222" s="5">
        <v>38.700000000000003</v>
      </c>
      <c r="J222" s="5">
        <v>35.700000000000003</v>
      </c>
      <c r="K222" s="6" t="s">
        <v>18</v>
      </c>
      <c r="L222" s="5" t="s">
        <v>38</v>
      </c>
    </row>
    <row r="223" spans="1:12" x14ac:dyDescent="0.25">
      <c r="A223" s="4" t="s">
        <v>35</v>
      </c>
      <c r="B223" s="5">
        <v>2023</v>
      </c>
      <c r="C223" s="5" t="s">
        <v>19</v>
      </c>
      <c r="D223" s="5">
        <v>51081</v>
      </c>
      <c r="E223" s="5">
        <v>325.3</v>
      </c>
      <c r="F223" s="5">
        <v>234.2</v>
      </c>
      <c r="G223" s="5">
        <v>56.7</v>
      </c>
      <c r="H223" s="5">
        <v>34.4</v>
      </c>
      <c r="I223" s="5">
        <v>89.4</v>
      </c>
      <c r="J223" s="5">
        <v>38.299999999999997</v>
      </c>
      <c r="K223" s="6" t="s">
        <v>21</v>
      </c>
      <c r="L223" s="5" t="s">
        <v>38</v>
      </c>
    </row>
    <row r="224" spans="1:12" x14ac:dyDescent="0.25">
      <c r="A224" s="4" t="s">
        <v>35</v>
      </c>
      <c r="B224" s="5">
        <v>2023</v>
      </c>
      <c r="C224" s="5" t="s">
        <v>20</v>
      </c>
      <c r="D224" s="5">
        <v>47495</v>
      </c>
      <c r="E224" s="5">
        <v>346.2</v>
      </c>
      <c r="F224" s="5">
        <v>266.39999999999998</v>
      </c>
      <c r="G224" s="5">
        <v>46.7</v>
      </c>
      <c r="H224" s="5">
        <v>33.1</v>
      </c>
      <c r="I224" s="5">
        <v>153.9</v>
      </c>
      <c r="J224" s="5">
        <v>33.1</v>
      </c>
      <c r="K224" s="6" t="s">
        <v>21</v>
      </c>
      <c r="L224" s="5" t="s">
        <v>37</v>
      </c>
    </row>
    <row r="225" spans="1:12" x14ac:dyDescent="0.25">
      <c r="A225" s="4" t="s">
        <v>35</v>
      </c>
      <c r="B225" s="5">
        <v>2023</v>
      </c>
      <c r="C225" s="5" t="s">
        <v>22</v>
      </c>
      <c r="D225" s="5">
        <v>59074</v>
      </c>
      <c r="E225" s="5">
        <v>330.5</v>
      </c>
      <c r="F225" s="5">
        <v>250.9</v>
      </c>
      <c r="G225" s="5">
        <v>48.4</v>
      </c>
      <c r="H225" s="5">
        <v>31.2</v>
      </c>
      <c r="I225" s="5">
        <v>143.30000000000001</v>
      </c>
      <c r="J225" s="5">
        <v>31.9</v>
      </c>
      <c r="K225" s="6" t="s">
        <v>21</v>
      </c>
      <c r="L225" s="5" t="s">
        <v>37</v>
      </c>
    </row>
    <row r="226" spans="1:12" x14ac:dyDescent="0.25">
      <c r="A226" s="4" t="s">
        <v>35</v>
      </c>
      <c r="B226" s="5">
        <v>2023</v>
      </c>
      <c r="C226" s="5" t="s">
        <v>23</v>
      </c>
      <c r="D226" s="5">
        <v>53399</v>
      </c>
      <c r="E226" s="5">
        <v>283.60000000000002</v>
      </c>
      <c r="F226" s="5">
        <v>222.9</v>
      </c>
      <c r="G226" s="5">
        <v>36.6</v>
      </c>
      <c r="H226" s="5">
        <v>24.1</v>
      </c>
      <c r="I226" s="5">
        <v>105.7</v>
      </c>
      <c r="J226" s="5">
        <v>31.6</v>
      </c>
      <c r="K226" s="6" t="s">
        <v>18</v>
      </c>
      <c r="L226" s="5" t="s">
        <v>37</v>
      </c>
    </row>
    <row r="227" spans="1:12" x14ac:dyDescent="0.25">
      <c r="A227" s="4" t="s">
        <v>35</v>
      </c>
      <c r="B227" s="5">
        <v>2023</v>
      </c>
      <c r="C227" s="5" t="s">
        <v>24</v>
      </c>
      <c r="D227" s="5">
        <v>45188</v>
      </c>
      <c r="E227" s="5">
        <v>235.6</v>
      </c>
      <c r="F227" s="5">
        <v>175.1</v>
      </c>
      <c r="G227" s="5">
        <v>35.9</v>
      </c>
      <c r="H227" s="5">
        <v>24.6</v>
      </c>
      <c r="I227" s="5">
        <v>39.1</v>
      </c>
      <c r="J227" s="5">
        <v>28.5</v>
      </c>
      <c r="K227" s="6" t="s">
        <v>13</v>
      </c>
      <c r="L227" s="5" t="s">
        <v>36</v>
      </c>
    </row>
    <row r="228" spans="1:12" x14ac:dyDescent="0.25">
      <c r="A228" s="4" t="s">
        <v>35</v>
      </c>
      <c r="B228" s="5">
        <v>2023</v>
      </c>
      <c r="C228" s="5" t="s">
        <v>25</v>
      </c>
      <c r="D228" s="5">
        <v>56278</v>
      </c>
      <c r="E228" s="5">
        <v>210.6</v>
      </c>
      <c r="F228" s="5">
        <v>156.30000000000001</v>
      </c>
      <c r="G228" s="5">
        <v>25.5</v>
      </c>
      <c r="H228" s="5">
        <v>28.8</v>
      </c>
      <c r="I228" s="5">
        <v>24.6</v>
      </c>
      <c r="J228" s="5">
        <v>22.7</v>
      </c>
      <c r="K228" s="6" t="s">
        <v>13</v>
      </c>
      <c r="L228" s="5" t="s">
        <v>36</v>
      </c>
    </row>
    <row r="229" spans="1:12" x14ac:dyDescent="0.25">
      <c r="A229" s="4" t="s">
        <v>35</v>
      </c>
      <c r="B229" s="5">
        <v>2023</v>
      </c>
      <c r="C229" s="5" t="s">
        <v>26</v>
      </c>
      <c r="D229" s="5">
        <v>41052</v>
      </c>
      <c r="E229" s="5">
        <v>189.4</v>
      </c>
      <c r="F229" s="5">
        <v>143.69999999999999</v>
      </c>
      <c r="G229" s="5">
        <v>27.2</v>
      </c>
      <c r="H229" s="5">
        <v>18.5</v>
      </c>
      <c r="I229" s="5">
        <v>20.8</v>
      </c>
      <c r="J229" s="5">
        <v>19.2</v>
      </c>
      <c r="K229" s="6" t="s">
        <v>13</v>
      </c>
      <c r="L229" s="5" t="s">
        <v>36</v>
      </c>
    </row>
    <row r="230" spans="1:12" x14ac:dyDescent="0.25">
      <c r="A230" s="4" t="s">
        <v>35</v>
      </c>
      <c r="B230" s="5">
        <v>2024</v>
      </c>
      <c r="C230" s="5" t="s">
        <v>12</v>
      </c>
      <c r="D230" s="5">
        <v>53791</v>
      </c>
      <c r="E230" s="5">
        <v>195.9</v>
      </c>
      <c r="F230" s="5">
        <v>136.69999999999999</v>
      </c>
      <c r="G230" s="5">
        <v>34.1</v>
      </c>
      <c r="H230" s="5">
        <v>25.1</v>
      </c>
      <c r="I230" s="5">
        <v>0</v>
      </c>
      <c r="J230" s="5">
        <v>22.1</v>
      </c>
      <c r="K230" s="6" t="s">
        <v>13</v>
      </c>
      <c r="L230" s="5" t="s">
        <v>36</v>
      </c>
    </row>
    <row r="231" spans="1:12" x14ac:dyDescent="0.25">
      <c r="A231" s="4" t="s">
        <v>35</v>
      </c>
      <c r="B231" s="5">
        <v>2024</v>
      </c>
      <c r="C231" s="5" t="s">
        <v>14</v>
      </c>
      <c r="D231" s="5">
        <v>43484</v>
      </c>
      <c r="E231" s="5">
        <v>199.7</v>
      </c>
      <c r="F231" s="5">
        <v>147.6</v>
      </c>
      <c r="G231" s="5">
        <v>32.1</v>
      </c>
      <c r="H231" s="5">
        <v>20</v>
      </c>
      <c r="I231" s="5">
        <v>3</v>
      </c>
      <c r="J231" s="5">
        <v>25.5</v>
      </c>
      <c r="K231" s="6" t="s">
        <v>13</v>
      </c>
      <c r="L231" s="5" t="s">
        <v>36</v>
      </c>
    </row>
    <row r="232" spans="1:12" x14ac:dyDescent="0.25">
      <c r="A232" s="4" t="s">
        <v>35</v>
      </c>
      <c r="B232" s="5">
        <v>2024</v>
      </c>
      <c r="C232" s="5" t="s">
        <v>15</v>
      </c>
      <c r="D232" s="5">
        <v>26364</v>
      </c>
      <c r="E232" s="5">
        <v>219.2</v>
      </c>
      <c r="F232" s="5">
        <v>155.5</v>
      </c>
      <c r="G232" s="5">
        <v>33.299999999999997</v>
      </c>
      <c r="H232" s="5">
        <v>30.4</v>
      </c>
      <c r="I232" s="5">
        <v>23.2</v>
      </c>
      <c r="J232" s="5">
        <v>27.9</v>
      </c>
      <c r="K232" s="6" t="s">
        <v>13</v>
      </c>
      <c r="L232" s="5" t="s">
        <v>39</v>
      </c>
    </row>
    <row r="233" spans="1:12" x14ac:dyDescent="0.25">
      <c r="A233" s="4" t="s">
        <v>35</v>
      </c>
      <c r="B233" s="5">
        <v>2024</v>
      </c>
      <c r="C233" s="5" t="s">
        <v>16</v>
      </c>
      <c r="D233" s="5">
        <v>23501</v>
      </c>
      <c r="E233" s="5">
        <v>246.4</v>
      </c>
      <c r="F233" s="5">
        <v>185.6</v>
      </c>
      <c r="G233" s="5">
        <v>31.6</v>
      </c>
      <c r="H233" s="5">
        <v>29.2</v>
      </c>
      <c r="I233" s="5">
        <v>14.9</v>
      </c>
      <c r="J233" s="5">
        <v>33.1</v>
      </c>
      <c r="K233" s="6" t="s">
        <v>13</v>
      </c>
      <c r="L233" s="5" t="s">
        <v>38</v>
      </c>
    </row>
    <row r="234" spans="1:12" x14ac:dyDescent="0.25">
      <c r="A234" s="4" t="s">
        <v>35</v>
      </c>
      <c r="B234" s="5">
        <v>2024</v>
      </c>
      <c r="C234" s="5" t="s">
        <v>17</v>
      </c>
      <c r="D234" s="5">
        <v>31871</v>
      </c>
      <c r="E234" s="5">
        <v>272.10000000000002</v>
      </c>
      <c r="F234" s="5">
        <v>204.7</v>
      </c>
      <c r="G234" s="5">
        <v>38.200000000000003</v>
      </c>
      <c r="H234" s="5">
        <v>29.2</v>
      </c>
      <c r="I234" s="5">
        <v>33.9</v>
      </c>
      <c r="J234" s="5">
        <v>36.200000000000003</v>
      </c>
      <c r="K234" s="6" t="s">
        <v>18</v>
      </c>
      <c r="L234" s="5" t="s">
        <v>38</v>
      </c>
    </row>
    <row r="235" spans="1:12" x14ac:dyDescent="0.25">
      <c r="A235" s="4" t="s">
        <v>35</v>
      </c>
      <c r="B235" s="5">
        <v>2024</v>
      </c>
      <c r="C235" s="5" t="s">
        <v>19</v>
      </c>
      <c r="D235" s="5">
        <v>45627</v>
      </c>
      <c r="E235" s="5">
        <v>330.8</v>
      </c>
      <c r="F235" s="5">
        <v>258</v>
      </c>
      <c r="G235" s="5">
        <v>41.3</v>
      </c>
      <c r="H235" s="5">
        <v>31.5</v>
      </c>
      <c r="I235" s="5">
        <v>107.4</v>
      </c>
      <c r="J235" s="5">
        <v>38.200000000000003</v>
      </c>
      <c r="K235" s="6" t="s">
        <v>21</v>
      </c>
      <c r="L235" s="5" t="s">
        <v>38</v>
      </c>
    </row>
    <row r="236" spans="1:12" x14ac:dyDescent="0.25">
      <c r="A236" s="4" t="s">
        <v>35</v>
      </c>
      <c r="B236" s="5">
        <v>2024</v>
      </c>
      <c r="C236" s="5" t="s">
        <v>20</v>
      </c>
      <c r="D236" s="5">
        <v>40935</v>
      </c>
      <c r="E236" s="5">
        <v>349.5</v>
      </c>
      <c r="F236" s="5">
        <v>273.39999999999998</v>
      </c>
      <c r="G236" s="5">
        <v>43.4</v>
      </c>
      <c r="H236" s="5">
        <v>32.700000000000003</v>
      </c>
      <c r="I236" s="5">
        <v>167.8</v>
      </c>
      <c r="J236" s="5">
        <v>34.9</v>
      </c>
      <c r="K236" s="6" t="s">
        <v>21</v>
      </c>
      <c r="L236" s="5" t="s">
        <v>37</v>
      </c>
    </row>
    <row r="237" spans="1:12" x14ac:dyDescent="0.25">
      <c r="A237" s="4" t="s">
        <v>35</v>
      </c>
      <c r="B237" s="5">
        <v>2024</v>
      </c>
      <c r="C237" s="5" t="s">
        <v>22</v>
      </c>
      <c r="D237" s="5">
        <v>34205</v>
      </c>
      <c r="E237" s="5">
        <v>318.7</v>
      </c>
      <c r="F237" s="5">
        <v>250.8</v>
      </c>
      <c r="G237" s="5">
        <v>38.6</v>
      </c>
      <c r="H237" s="5">
        <v>29.3</v>
      </c>
      <c r="I237" s="5">
        <v>148</v>
      </c>
      <c r="J237" s="5">
        <v>33.6</v>
      </c>
      <c r="K237" s="6" t="s">
        <v>21</v>
      </c>
      <c r="L237" s="5" t="s">
        <v>37</v>
      </c>
    </row>
    <row r="238" spans="1:12" x14ac:dyDescent="0.25">
      <c r="A238" s="4" t="s">
        <v>35</v>
      </c>
      <c r="B238" s="5">
        <v>2024</v>
      </c>
      <c r="C238" s="5" t="s">
        <v>23</v>
      </c>
      <c r="D238" s="5">
        <v>54960</v>
      </c>
      <c r="E238" s="5">
        <v>291.60000000000002</v>
      </c>
      <c r="F238" s="5">
        <v>208.6</v>
      </c>
      <c r="G238" s="5">
        <v>43.1</v>
      </c>
      <c r="H238" s="5">
        <v>39.9</v>
      </c>
      <c r="I238" s="5">
        <v>109.6</v>
      </c>
      <c r="J238" s="5">
        <v>32.4</v>
      </c>
      <c r="K238" s="6" t="s">
        <v>18</v>
      </c>
      <c r="L238" s="5" t="s">
        <v>37</v>
      </c>
    </row>
    <row r="239" spans="1:12" x14ac:dyDescent="0.25">
      <c r="A239" s="4" t="s">
        <v>35</v>
      </c>
      <c r="B239" s="5">
        <v>2024</v>
      </c>
      <c r="C239" s="5" t="s">
        <v>24</v>
      </c>
      <c r="D239" s="5">
        <v>25506</v>
      </c>
      <c r="E239" s="5">
        <v>245</v>
      </c>
      <c r="F239" s="5">
        <v>182.2</v>
      </c>
      <c r="G239" s="5">
        <v>31.8</v>
      </c>
      <c r="H239" s="5">
        <v>31</v>
      </c>
      <c r="I239" s="5">
        <v>40.1</v>
      </c>
      <c r="J239" s="5">
        <v>29.8</v>
      </c>
      <c r="K239" s="6" t="s">
        <v>13</v>
      </c>
      <c r="L239" s="5" t="s">
        <v>36</v>
      </c>
    </row>
    <row r="240" spans="1:12" x14ac:dyDescent="0.25">
      <c r="A240" s="4" t="s">
        <v>35</v>
      </c>
      <c r="B240" s="5">
        <v>2024</v>
      </c>
      <c r="C240" s="5" t="s">
        <v>25</v>
      </c>
      <c r="D240" s="5">
        <v>55735</v>
      </c>
      <c r="E240" s="5">
        <v>222.8</v>
      </c>
      <c r="F240" s="5">
        <v>156.4</v>
      </c>
      <c r="G240" s="5">
        <v>39.5</v>
      </c>
      <c r="H240" s="5">
        <v>26.9</v>
      </c>
      <c r="I240" s="5">
        <v>2.4</v>
      </c>
      <c r="J240" s="5">
        <v>25.4</v>
      </c>
      <c r="K240" s="6" t="s">
        <v>13</v>
      </c>
      <c r="L240" s="5" t="s">
        <v>36</v>
      </c>
    </row>
    <row r="241" spans="1:12" x14ac:dyDescent="0.25">
      <c r="A241" s="7" t="s">
        <v>35</v>
      </c>
      <c r="B241" s="8">
        <v>2024</v>
      </c>
      <c r="C241" s="8" t="s">
        <v>26</v>
      </c>
      <c r="D241" s="8">
        <v>63260</v>
      </c>
      <c r="E241" s="8">
        <v>179.8</v>
      </c>
      <c r="F241" s="8">
        <v>132.30000000000001</v>
      </c>
      <c r="G241" s="8">
        <v>24.2</v>
      </c>
      <c r="H241" s="8">
        <v>23.3</v>
      </c>
      <c r="I241" s="8">
        <v>3.2</v>
      </c>
      <c r="J241" s="8">
        <v>19.8</v>
      </c>
      <c r="K241" s="9" t="s">
        <v>13</v>
      </c>
      <c r="L241" s="8" t="s">
        <v>36</v>
      </c>
    </row>
  </sheetData>
  <conditionalFormatting sqref="K1:K1048576">
    <cfRule type="cellIs" dxfId="4141" priority="1" operator="equal">
      <formula>"high"</formula>
    </cfRule>
    <cfRule type="cellIs" dxfId="4140" priority="2" operator="equal">
      <formula>"medium"</formula>
    </cfRule>
    <cfRule type="cellIs" dxfId="4139" priority="3" operator="equal">
      <formula>"low"</formula>
    </cfRule>
    <cfRule type="cellIs" dxfId="4138" priority="5" operator="equal">
      <formula>"high"</formula>
    </cfRule>
    <cfRule type="cellIs" dxfId="4137" priority="6" operator="equal">
      <formula>"medium"</formula>
    </cfRule>
    <cfRule type="cellIs" dxfId="4136" priority="7" operator="equal">
      <formula>"low"</formula>
    </cfRule>
  </conditionalFormatting>
  <conditionalFormatting sqref="K15">
    <cfRule type="containsText" dxfId="4135" priority="4" operator="containsText" text="LOW">
      <formula>NOT(ISERROR(SEARCH("LOW",K15)))</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1C9CA-36A4-407B-985E-92504F27A685}">
  <dimension ref="A3:D114"/>
  <sheetViews>
    <sheetView workbookViewId="0">
      <selection activeCell="B106" sqref="B106"/>
    </sheetView>
  </sheetViews>
  <sheetFormatPr defaultRowHeight="15" x14ac:dyDescent="0.25"/>
  <cols>
    <col min="1" max="1" width="13.85546875" bestFit="1" customWidth="1"/>
    <col min="2" max="2" width="17.7109375" bestFit="1" customWidth="1"/>
    <col min="3" max="3" width="20.42578125" bestFit="1" customWidth="1"/>
    <col min="4" max="4" width="18.42578125" bestFit="1" customWidth="1"/>
    <col min="5" max="17" width="6" bestFit="1" customWidth="1"/>
    <col min="18" max="18" width="4" bestFit="1" customWidth="1"/>
    <col min="19" max="32" width="6" bestFit="1" customWidth="1"/>
    <col min="33" max="33" width="4" bestFit="1" customWidth="1"/>
    <col min="34" max="55" width="6" bestFit="1" customWidth="1"/>
    <col min="56" max="56" width="4" bestFit="1" customWidth="1"/>
    <col min="57" max="66" width="6" bestFit="1" customWidth="1"/>
    <col min="67" max="67" width="4" bestFit="1" customWidth="1"/>
    <col min="68" max="97" width="6" bestFit="1" customWidth="1"/>
    <col min="98" max="98" width="4" bestFit="1" customWidth="1"/>
    <col min="99" max="118" width="6" bestFit="1" customWidth="1"/>
    <col min="119" max="119" width="4" bestFit="1" customWidth="1"/>
    <col min="120" max="139" width="6" bestFit="1" customWidth="1"/>
    <col min="140" max="140" width="4" bestFit="1" customWidth="1"/>
    <col min="141" max="149" width="6" bestFit="1" customWidth="1"/>
    <col min="150" max="150" width="4" bestFit="1" customWidth="1"/>
    <col min="151" max="157" width="6" bestFit="1" customWidth="1"/>
    <col min="158" max="158" width="4" bestFit="1" customWidth="1"/>
    <col min="159" max="169" width="6" bestFit="1" customWidth="1"/>
    <col min="170" max="170" width="4" bestFit="1" customWidth="1"/>
    <col min="171" max="178" width="6" bestFit="1" customWidth="1"/>
    <col min="179" max="180" width="4" bestFit="1" customWidth="1"/>
    <col min="181" max="222" width="6" bestFit="1" customWidth="1"/>
    <col min="223" max="223" width="4" bestFit="1" customWidth="1"/>
    <col min="224" max="228" width="6" bestFit="1" customWidth="1"/>
    <col min="229" max="229" width="11.28515625" bestFit="1" customWidth="1"/>
  </cols>
  <sheetData>
    <row r="3" spans="1:2" x14ac:dyDescent="0.25">
      <c r="A3" s="13" t="s">
        <v>41</v>
      </c>
      <c r="B3" s="11" t="s">
        <v>43</v>
      </c>
    </row>
    <row r="4" spans="1:2" x14ac:dyDescent="0.25">
      <c r="A4" s="15">
        <v>2023</v>
      </c>
      <c r="B4" s="16">
        <v>31735.800000000007</v>
      </c>
    </row>
    <row r="5" spans="1:2" x14ac:dyDescent="0.25">
      <c r="A5" s="17" t="s">
        <v>12</v>
      </c>
      <c r="B5" s="18">
        <v>2034.6000000000001</v>
      </c>
    </row>
    <row r="6" spans="1:2" x14ac:dyDescent="0.25">
      <c r="A6" s="11" t="s">
        <v>11</v>
      </c>
      <c r="B6" s="14">
        <v>178.1</v>
      </c>
    </row>
    <row r="7" spans="1:2" x14ac:dyDescent="0.25">
      <c r="A7" s="11" t="s">
        <v>27</v>
      </c>
      <c r="B7" s="14">
        <v>245.1</v>
      </c>
    </row>
    <row r="8" spans="1:2" x14ac:dyDescent="0.25">
      <c r="A8" s="11" t="s">
        <v>28</v>
      </c>
      <c r="B8" s="14">
        <v>221.6</v>
      </c>
    </row>
    <row r="9" spans="1:2" x14ac:dyDescent="0.25">
      <c r="A9" s="11" t="s">
        <v>29</v>
      </c>
      <c r="B9" s="14">
        <v>178.7</v>
      </c>
    </row>
    <row r="10" spans="1:2" x14ac:dyDescent="0.25">
      <c r="A10" s="11" t="s">
        <v>30</v>
      </c>
      <c r="B10" s="14">
        <v>235.7</v>
      </c>
    </row>
    <row r="11" spans="1:2" x14ac:dyDescent="0.25">
      <c r="A11" s="11" t="s">
        <v>31</v>
      </c>
      <c r="B11" s="14">
        <v>217.2</v>
      </c>
    </row>
    <row r="12" spans="1:2" x14ac:dyDescent="0.25">
      <c r="A12" s="11" t="s">
        <v>32</v>
      </c>
      <c r="B12" s="14">
        <v>180</v>
      </c>
    </row>
    <row r="13" spans="1:2" x14ac:dyDescent="0.25">
      <c r="A13" s="11" t="s">
        <v>33</v>
      </c>
      <c r="B13" s="14">
        <v>183.8</v>
      </c>
    </row>
    <row r="14" spans="1:2" x14ac:dyDescent="0.25">
      <c r="A14" s="11" t="s">
        <v>34</v>
      </c>
      <c r="B14" s="14">
        <v>205.5</v>
      </c>
    </row>
    <row r="15" spans="1:2" x14ac:dyDescent="0.25">
      <c r="A15" s="11" t="s">
        <v>35</v>
      </c>
      <c r="B15" s="14">
        <v>188.9</v>
      </c>
    </row>
    <row r="16" spans="1:2" x14ac:dyDescent="0.25">
      <c r="A16" s="17" t="s">
        <v>14</v>
      </c>
      <c r="B16" s="18">
        <v>2069.2000000000003</v>
      </c>
    </row>
    <row r="17" spans="1:2" x14ac:dyDescent="0.25">
      <c r="A17" s="17" t="s">
        <v>15</v>
      </c>
      <c r="B17" s="18">
        <v>2287.6000000000004</v>
      </c>
    </row>
    <row r="18" spans="1:2" x14ac:dyDescent="0.25">
      <c r="A18" s="17" t="s">
        <v>16</v>
      </c>
      <c r="B18" s="18">
        <v>2535.3000000000002</v>
      </c>
    </row>
    <row r="19" spans="1:2" x14ac:dyDescent="0.25">
      <c r="A19" s="17" t="s">
        <v>17</v>
      </c>
      <c r="B19" s="18">
        <v>2852.8</v>
      </c>
    </row>
    <row r="20" spans="1:2" x14ac:dyDescent="0.25">
      <c r="A20" s="17" t="s">
        <v>19</v>
      </c>
      <c r="B20" s="18">
        <v>3340.1</v>
      </c>
    </row>
    <row r="21" spans="1:2" x14ac:dyDescent="0.25">
      <c r="A21" s="17" t="s">
        <v>20</v>
      </c>
      <c r="B21" s="18">
        <v>3536.7999999999997</v>
      </c>
    </row>
    <row r="22" spans="1:2" x14ac:dyDescent="0.25">
      <c r="A22" s="17" t="s">
        <v>22</v>
      </c>
      <c r="B22" s="18">
        <v>3392.8999999999996</v>
      </c>
    </row>
    <row r="23" spans="1:2" x14ac:dyDescent="0.25">
      <c r="A23" s="17" t="s">
        <v>23</v>
      </c>
      <c r="B23" s="18">
        <v>2946.4</v>
      </c>
    </row>
    <row r="24" spans="1:2" x14ac:dyDescent="0.25">
      <c r="A24" s="17" t="s">
        <v>24</v>
      </c>
      <c r="B24" s="18">
        <v>2510.8999999999996</v>
      </c>
    </row>
    <row r="25" spans="1:2" x14ac:dyDescent="0.25">
      <c r="A25" s="17" t="s">
        <v>25</v>
      </c>
      <c r="B25" s="18">
        <v>2221.4</v>
      </c>
    </row>
    <row r="26" spans="1:2" x14ac:dyDescent="0.25">
      <c r="A26" s="17" t="s">
        <v>26</v>
      </c>
      <c r="B26" s="18">
        <v>2007.8</v>
      </c>
    </row>
    <row r="27" spans="1:2" x14ac:dyDescent="0.25">
      <c r="A27" s="19">
        <v>2024</v>
      </c>
      <c r="B27" s="20">
        <v>31704.399999999998</v>
      </c>
    </row>
    <row r="28" spans="1:2" x14ac:dyDescent="0.25">
      <c r="A28" s="21" t="s">
        <v>12</v>
      </c>
      <c r="B28" s="22">
        <v>1997.6000000000001</v>
      </c>
    </row>
    <row r="29" spans="1:2" x14ac:dyDescent="0.25">
      <c r="A29" s="11" t="s">
        <v>11</v>
      </c>
      <c r="B29" s="14">
        <v>180.1</v>
      </c>
    </row>
    <row r="30" spans="1:2" x14ac:dyDescent="0.25">
      <c r="A30" s="11" t="s">
        <v>27</v>
      </c>
      <c r="B30" s="14">
        <v>235.3</v>
      </c>
    </row>
    <row r="31" spans="1:2" x14ac:dyDescent="0.25">
      <c r="A31" s="11" t="s">
        <v>28</v>
      </c>
      <c r="B31" s="14">
        <v>231.1</v>
      </c>
    </row>
    <row r="32" spans="1:2" x14ac:dyDescent="0.25">
      <c r="A32" s="11" t="s">
        <v>29</v>
      </c>
      <c r="B32" s="14">
        <v>160</v>
      </c>
    </row>
    <row r="33" spans="1:2" x14ac:dyDescent="0.25">
      <c r="A33" s="11" t="s">
        <v>30</v>
      </c>
      <c r="B33" s="14">
        <v>229.8</v>
      </c>
    </row>
    <row r="34" spans="1:2" x14ac:dyDescent="0.25">
      <c r="A34" s="11" t="s">
        <v>31</v>
      </c>
      <c r="B34" s="14">
        <v>196.4</v>
      </c>
    </row>
    <row r="35" spans="1:2" x14ac:dyDescent="0.25">
      <c r="A35" s="11" t="s">
        <v>32</v>
      </c>
      <c r="B35" s="14">
        <v>172.2</v>
      </c>
    </row>
    <row r="36" spans="1:2" x14ac:dyDescent="0.25">
      <c r="A36" s="11" t="s">
        <v>33</v>
      </c>
      <c r="B36" s="14">
        <v>170.3</v>
      </c>
    </row>
    <row r="37" spans="1:2" x14ac:dyDescent="0.25">
      <c r="A37" s="11" t="s">
        <v>34</v>
      </c>
      <c r="B37" s="14">
        <v>226.5</v>
      </c>
    </row>
    <row r="38" spans="1:2" x14ac:dyDescent="0.25">
      <c r="A38" s="11" t="s">
        <v>35</v>
      </c>
      <c r="B38" s="14">
        <v>195.9</v>
      </c>
    </row>
    <row r="39" spans="1:2" x14ac:dyDescent="0.25">
      <c r="A39" s="21" t="s">
        <v>14</v>
      </c>
      <c r="B39" s="22">
        <v>2065.7999999999997</v>
      </c>
    </row>
    <row r="40" spans="1:2" x14ac:dyDescent="0.25">
      <c r="A40" s="21" t="s">
        <v>15</v>
      </c>
      <c r="B40" s="22">
        <v>2284.6999999999998</v>
      </c>
    </row>
    <row r="41" spans="1:2" x14ac:dyDescent="0.25">
      <c r="A41" s="21" t="s">
        <v>16</v>
      </c>
      <c r="B41" s="22">
        <v>2547</v>
      </c>
    </row>
    <row r="42" spans="1:2" x14ac:dyDescent="0.25">
      <c r="A42" s="21" t="s">
        <v>17</v>
      </c>
      <c r="B42" s="22">
        <v>2842.4</v>
      </c>
    </row>
    <row r="43" spans="1:2" x14ac:dyDescent="0.25">
      <c r="A43" s="21" t="s">
        <v>19</v>
      </c>
      <c r="B43" s="22">
        <v>3307.7000000000003</v>
      </c>
    </row>
    <row r="44" spans="1:2" x14ac:dyDescent="0.25">
      <c r="A44" s="21" t="s">
        <v>20</v>
      </c>
      <c r="B44" s="22">
        <v>3523.7000000000003</v>
      </c>
    </row>
    <row r="45" spans="1:2" x14ac:dyDescent="0.25">
      <c r="A45" s="21" t="s">
        <v>22</v>
      </c>
      <c r="B45" s="22">
        <v>3369.9</v>
      </c>
    </row>
    <row r="46" spans="1:2" x14ac:dyDescent="0.25">
      <c r="A46" s="21" t="s">
        <v>23</v>
      </c>
      <c r="B46" s="22">
        <v>3034.2</v>
      </c>
    </row>
    <row r="47" spans="1:2" x14ac:dyDescent="0.25">
      <c r="A47" s="21" t="s">
        <v>24</v>
      </c>
      <c r="B47" s="22">
        <v>2508.1999999999998</v>
      </c>
    </row>
    <row r="48" spans="1:2" x14ac:dyDescent="0.25">
      <c r="A48" s="21" t="s">
        <v>25</v>
      </c>
      <c r="B48" s="22">
        <v>2233.3999999999996</v>
      </c>
    </row>
    <row r="49" spans="1:4" x14ac:dyDescent="0.25">
      <c r="A49" s="21" t="s">
        <v>26</v>
      </c>
      <c r="B49" s="22">
        <v>1989.7999999999997</v>
      </c>
    </row>
    <row r="53" spans="1:4" x14ac:dyDescent="0.25">
      <c r="A53" s="10" t="s">
        <v>41</v>
      </c>
      <c r="B53" s="5" t="s">
        <v>45</v>
      </c>
      <c r="C53" s="5" t="s">
        <v>46</v>
      </c>
      <c r="D53" s="5" t="s">
        <v>47</v>
      </c>
    </row>
    <row r="54" spans="1:4" x14ac:dyDescent="0.25">
      <c r="A54" s="11" t="s">
        <v>11</v>
      </c>
      <c r="B54" s="12">
        <v>4294.7</v>
      </c>
      <c r="C54" s="12">
        <v>893.4000000000002</v>
      </c>
      <c r="D54" s="12">
        <v>639.79999999999984</v>
      </c>
    </row>
    <row r="55" spans="1:4" x14ac:dyDescent="0.25">
      <c r="A55" s="11" t="s">
        <v>27</v>
      </c>
      <c r="B55" s="12">
        <v>5660.3999999999987</v>
      </c>
      <c r="C55" s="12">
        <v>1097.9000000000001</v>
      </c>
      <c r="D55" s="12">
        <v>817.5</v>
      </c>
    </row>
    <row r="56" spans="1:4" x14ac:dyDescent="0.25">
      <c r="A56" s="11" t="s">
        <v>28</v>
      </c>
      <c r="B56" s="12">
        <v>5221.8000000000011</v>
      </c>
      <c r="C56" s="12">
        <v>1030.5000000000002</v>
      </c>
      <c r="D56" s="12">
        <v>764.70000000000016</v>
      </c>
    </row>
    <row r="57" spans="1:4" x14ac:dyDescent="0.25">
      <c r="A57" s="11" t="s">
        <v>29</v>
      </c>
      <c r="B57" s="12">
        <v>3997.6000000000004</v>
      </c>
      <c r="C57" s="12">
        <v>796.60000000000014</v>
      </c>
      <c r="D57" s="12">
        <v>577.5</v>
      </c>
    </row>
    <row r="58" spans="1:4" x14ac:dyDescent="0.25">
      <c r="A58" s="11" t="s">
        <v>30</v>
      </c>
      <c r="B58" s="12">
        <v>5414.5999999999995</v>
      </c>
      <c r="C58" s="12">
        <v>1073.4999999999998</v>
      </c>
      <c r="D58" s="12">
        <v>741.1</v>
      </c>
    </row>
    <row r="59" spans="1:4" x14ac:dyDescent="0.25">
      <c r="A59" s="11" t="s">
        <v>31</v>
      </c>
      <c r="B59" s="12">
        <v>4770.4999999999991</v>
      </c>
      <c r="C59" s="12">
        <v>959.8</v>
      </c>
      <c r="D59" s="12">
        <v>746.9</v>
      </c>
    </row>
    <row r="60" spans="1:4" x14ac:dyDescent="0.25">
      <c r="A60" s="11" t="s">
        <v>32</v>
      </c>
      <c r="B60" s="12">
        <v>4026.8</v>
      </c>
      <c r="C60" s="12">
        <v>860.1</v>
      </c>
      <c r="D60" s="12">
        <v>615.9</v>
      </c>
    </row>
    <row r="61" spans="1:4" x14ac:dyDescent="0.25">
      <c r="A61" s="11" t="s">
        <v>33</v>
      </c>
      <c r="B61" s="12">
        <v>4117.5</v>
      </c>
      <c r="C61" s="12">
        <v>835.9</v>
      </c>
      <c r="D61" s="12">
        <v>607.19999999999993</v>
      </c>
    </row>
    <row r="62" spans="1:4" x14ac:dyDescent="0.25">
      <c r="A62" s="11" t="s">
        <v>34</v>
      </c>
      <c r="B62" s="12">
        <v>5042.0000000000009</v>
      </c>
      <c r="C62" s="12">
        <v>961.7</v>
      </c>
      <c r="D62" s="12">
        <v>740.90000000000009</v>
      </c>
    </row>
    <row r="63" spans="1:4" x14ac:dyDescent="0.25">
      <c r="A63" s="11" t="s">
        <v>35</v>
      </c>
      <c r="B63" s="12">
        <v>4573.2</v>
      </c>
      <c r="C63" s="12">
        <v>889.9</v>
      </c>
      <c r="D63" s="12">
        <v>670.29999999999984</v>
      </c>
    </row>
    <row r="64" spans="1:4" x14ac:dyDescent="0.25">
      <c r="A64" s="11" t="s">
        <v>42</v>
      </c>
      <c r="B64" s="12">
        <v>47119.1</v>
      </c>
      <c r="C64" s="12">
        <v>9399.3000000000011</v>
      </c>
      <c r="D64" s="12">
        <v>6921.8</v>
      </c>
    </row>
    <row r="88" spans="1:2" x14ac:dyDescent="0.25">
      <c r="A88" s="10" t="s">
        <v>41</v>
      </c>
      <c r="B88" s="5" t="s">
        <v>43</v>
      </c>
    </row>
    <row r="89" spans="1:2" x14ac:dyDescent="0.25">
      <c r="A89" s="11" t="s">
        <v>11</v>
      </c>
      <c r="B89" s="12">
        <v>5827.9000000000005</v>
      </c>
    </row>
    <row r="90" spans="1:2" x14ac:dyDescent="0.25">
      <c r="A90" s="11" t="s">
        <v>27</v>
      </c>
      <c r="B90" s="12">
        <v>7575.8</v>
      </c>
    </row>
    <row r="91" spans="1:2" x14ac:dyDescent="0.25">
      <c r="A91" s="11" t="s">
        <v>28</v>
      </c>
      <c r="B91" s="12">
        <v>7016.9999999999982</v>
      </c>
    </row>
    <row r="92" spans="1:2" x14ac:dyDescent="0.25">
      <c r="A92" s="11" t="s">
        <v>29</v>
      </c>
      <c r="B92" s="12">
        <v>5371.7000000000007</v>
      </c>
    </row>
    <row r="93" spans="1:2" x14ac:dyDescent="0.25">
      <c r="A93" s="11" t="s">
        <v>30</v>
      </c>
      <c r="B93" s="12">
        <v>7229.2000000000007</v>
      </c>
    </row>
    <row r="94" spans="1:2" x14ac:dyDescent="0.25">
      <c r="A94" s="11" t="s">
        <v>31</v>
      </c>
      <c r="B94" s="12">
        <v>6477.2</v>
      </c>
    </row>
    <row r="95" spans="1:2" x14ac:dyDescent="0.25">
      <c r="A95" s="11" t="s">
        <v>32</v>
      </c>
      <c r="B95" s="12">
        <v>5502.8</v>
      </c>
    </row>
    <row r="96" spans="1:2" x14ac:dyDescent="0.25">
      <c r="A96" s="11" t="s">
        <v>33</v>
      </c>
      <c r="B96" s="12">
        <v>5560.6</v>
      </c>
    </row>
    <row r="97" spans="1:2" x14ac:dyDescent="0.25">
      <c r="A97" s="11" t="s">
        <v>34</v>
      </c>
      <c r="B97" s="12">
        <v>6744.6</v>
      </c>
    </row>
    <row r="98" spans="1:2" x14ac:dyDescent="0.25">
      <c r="A98" s="11" t="s">
        <v>35</v>
      </c>
      <c r="B98" s="12">
        <v>6133.4000000000005</v>
      </c>
    </row>
    <row r="104" spans="1:2" x14ac:dyDescent="0.25">
      <c r="A104" s="10" t="s">
        <v>41</v>
      </c>
      <c r="B104" s="5" t="s">
        <v>50</v>
      </c>
    </row>
    <row r="105" spans="1:2" x14ac:dyDescent="0.25">
      <c r="A105" s="11" t="s">
        <v>11</v>
      </c>
      <c r="B105" s="12">
        <v>1097934</v>
      </c>
    </row>
    <row r="106" spans="1:2" x14ac:dyDescent="0.25">
      <c r="A106" s="11" t="s">
        <v>27</v>
      </c>
      <c r="B106" s="12">
        <v>839560</v>
      </c>
    </row>
    <row r="107" spans="1:2" x14ac:dyDescent="0.25">
      <c r="A107" s="11" t="s">
        <v>28</v>
      </c>
      <c r="B107" s="12">
        <v>971876</v>
      </c>
    </row>
    <row r="108" spans="1:2" x14ac:dyDescent="0.25">
      <c r="A108" s="11" t="s">
        <v>29</v>
      </c>
      <c r="B108" s="12">
        <v>954928</v>
      </c>
    </row>
    <row r="109" spans="1:2" x14ac:dyDescent="0.25">
      <c r="A109" s="11" t="s">
        <v>30</v>
      </c>
      <c r="B109" s="12">
        <v>1007076</v>
      </c>
    </row>
    <row r="110" spans="1:2" x14ac:dyDescent="0.25">
      <c r="A110" s="11" t="s">
        <v>31</v>
      </c>
      <c r="B110" s="12">
        <v>917813</v>
      </c>
    </row>
    <row r="111" spans="1:2" x14ac:dyDescent="0.25">
      <c r="A111" s="11" t="s">
        <v>32</v>
      </c>
      <c r="B111" s="12">
        <v>961439</v>
      </c>
    </row>
    <row r="112" spans="1:2" x14ac:dyDescent="0.25">
      <c r="A112" s="11" t="s">
        <v>33</v>
      </c>
      <c r="B112" s="12">
        <v>932006</v>
      </c>
    </row>
    <row r="113" spans="1:2" x14ac:dyDescent="0.25">
      <c r="A113" s="11" t="s">
        <v>34</v>
      </c>
      <c r="B113" s="12">
        <v>986384</v>
      </c>
    </row>
    <row r="114" spans="1:2" x14ac:dyDescent="0.25">
      <c r="A114" s="11" t="s">
        <v>35</v>
      </c>
      <c r="B114" s="12">
        <v>1099724</v>
      </c>
    </row>
  </sheetData>
  <conditionalFormatting sqref="A88:B88 A89:A98">
    <cfRule type="dataBar" priority="1">
      <dataBar>
        <cfvo type="min"/>
        <cfvo type="max"/>
        <color rgb="FF008AEF"/>
      </dataBar>
      <extLst>
        <ext xmlns:x14="http://schemas.microsoft.com/office/spreadsheetml/2009/9/main" uri="{B025F937-C7B1-47D3-B67F-A62EFF666E3E}">
          <x14:id>{BC2D6D60-D3D5-4C5E-9514-586900A288D3}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C2D6D60-D3D5-4C5E-9514-586900A288D3}">
            <x14:dataBar minLength="0" maxLength="100" border="1" negativeBarBorderColorSameAsPositive="0">
              <x14:cfvo type="autoMin"/>
              <x14:cfvo type="autoMax"/>
              <x14:borderColor rgb="FF008AEF"/>
              <x14:negativeFillColor rgb="FFFF0000"/>
              <x14:negativeBorderColor rgb="FFFF0000"/>
              <x14:axisColor rgb="FF000000"/>
            </x14:dataBar>
          </x14:cfRule>
          <xm:sqref>A88:B88 A89:A98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FBC1A-4A7A-40C9-BDEC-740E8C429647}">
  <dimension ref="F27:AE65"/>
  <sheetViews>
    <sheetView zoomScale="71" workbookViewId="0">
      <selection activeCell="AK14" sqref="AK14"/>
    </sheetView>
  </sheetViews>
  <sheetFormatPr defaultRowHeight="15" x14ac:dyDescent="0.25"/>
  <cols>
    <col min="1" max="16384" width="9.140625" style="23"/>
  </cols>
  <sheetData>
    <row r="27" spans="6:30" x14ac:dyDescent="0.25">
      <c r="T27" s="27" t="s">
        <v>48</v>
      </c>
      <c r="U27" s="27"/>
      <c r="V27" s="27"/>
      <c r="W27" s="27"/>
      <c r="X27" s="27"/>
      <c r="Y27" s="27"/>
      <c r="Z27" s="27"/>
      <c r="AA27" s="27"/>
      <c r="AB27" s="27"/>
      <c r="AC27" s="27"/>
    </row>
    <row r="28" spans="6:30" ht="15.75" customHeight="1" x14ac:dyDescent="0.25">
      <c r="F28" s="25" t="s">
        <v>44</v>
      </c>
      <c r="G28" s="25"/>
      <c r="H28" s="25"/>
      <c r="I28" s="25"/>
      <c r="J28" s="25"/>
      <c r="K28" s="25"/>
      <c r="L28" s="25"/>
      <c r="M28" s="25"/>
      <c r="N28" s="25"/>
      <c r="O28" s="25"/>
      <c r="P28" s="25"/>
      <c r="T28" s="27"/>
      <c r="U28" s="27"/>
      <c r="V28" s="27"/>
      <c r="W28" s="27"/>
      <c r="X28" s="27"/>
      <c r="Y28" s="27"/>
      <c r="Z28" s="27"/>
      <c r="AA28" s="27"/>
      <c r="AB28" s="27"/>
      <c r="AC28" s="27"/>
      <c r="AD28" s="24"/>
    </row>
    <row r="29" spans="6:30" ht="15" customHeight="1" x14ac:dyDescent="0.35">
      <c r="F29" s="25"/>
      <c r="G29" s="25"/>
      <c r="H29" s="25"/>
      <c r="I29" s="25"/>
      <c r="J29" s="25"/>
      <c r="K29" s="25"/>
      <c r="L29" s="25"/>
      <c r="M29" s="25"/>
      <c r="N29" s="25"/>
      <c r="O29" s="25"/>
      <c r="P29" s="25"/>
      <c r="T29" s="24"/>
      <c r="U29" s="28"/>
      <c r="V29" s="28"/>
      <c r="W29" s="28"/>
      <c r="X29" s="28"/>
      <c r="Y29" s="28"/>
      <c r="Z29" s="28"/>
      <c r="AA29" s="28"/>
      <c r="AB29" s="28"/>
      <c r="AC29" s="28"/>
      <c r="AD29" s="24"/>
    </row>
    <row r="61" spans="7:31" ht="15" customHeight="1" x14ac:dyDescent="0.25">
      <c r="V61" s="25" t="s">
        <v>51</v>
      </c>
      <c r="W61" s="25"/>
      <c r="X61" s="25"/>
      <c r="Y61" s="25"/>
      <c r="Z61" s="25"/>
      <c r="AA61" s="25"/>
      <c r="AB61" s="25"/>
      <c r="AC61" s="25"/>
      <c r="AD61" s="25"/>
      <c r="AE61" s="25"/>
    </row>
    <row r="62" spans="7:31" ht="15" customHeight="1" x14ac:dyDescent="0.25">
      <c r="V62" s="25"/>
      <c r="W62" s="25"/>
      <c r="X62" s="25"/>
      <c r="Y62" s="25"/>
      <c r="Z62" s="25"/>
      <c r="AA62" s="25"/>
      <c r="AB62" s="25"/>
      <c r="AC62" s="25"/>
      <c r="AD62" s="25"/>
      <c r="AE62" s="25"/>
    </row>
    <row r="63" spans="7:31" x14ac:dyDescent="0.25">
      <c r="V63" s="25"/>
      <c r="W63" s="25"/>
      <c r="X63" s="25"/>
      <c r="Y63" s="25"/>
      <c r="Z63" s="25"/>
      <c r="AA63" s="25"/>
      <c r="AB63" s="25"/>
      <c r="AC63" s="25"/>
      <c r="AD63" s="25"/>
      <c r="AE63" s="25"/>
    </row>
    <row r="64" spans="7:31" x14ac:dyDescent="0.25">
      <c r="G64" s="26" t="s">
        <v>49</v>
      </c>
      <c r="H64" s="26"/>
      <c r="I64" s="26"/>
      <c r="J64" s="26"/>
      <c r="K64" s="26"/>
      <c r="L64" s="26"/>
      <c r="M64" s="26"/>
      <c r="N64" s="26"/>
      <c r="O64" s="26"/>
      <c r="P64" s="26"/>
    </row>
    <row r="65" spans="7:16" x14ac:dyDescent="0.25">
      <c r="G65" s="26"/>
      <c r="H65" s="26"/>
      <c r="I65" s="26"/>
      <c r="J65" s="26"/>
      <c r="K65" s="26"/>
      <c r="L65" s="26"/>
      <c r="M65" s="26"/>
      <c r="N65" s="26"/>
      <c r="O65" s="26"/>
      <c r="P65" s="26"/>
    </row>
  </sheetData>
  <mergeCells count="4">
    <mergeCell ref="F28:P29"/>
    <mergeCell ref="G64:P65"/>
    <mergeCell ref="V61:AE63"/>
    <mergeCell ref="T27:AC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water_consumption_hyderabad</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dc:creator>
  <cp:lastModifiedBy>Siva Aravind</cp:lastModifiedBy>
  <dcterms:created xsi:type="dcterms:W3CDTF">2026-04-17T06:17:25Z</dcterms:created>
  <dcterms:modified xsi:type="dcterms:W3CDTF">2026-04-17T09:48:56Z</dcterms:modified>
</cp:coreProperties>
</file>